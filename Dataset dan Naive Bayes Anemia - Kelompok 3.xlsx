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TUGAS\SEMESTER 3\STATISTIKA KOMPUTASI\"/>
    </mc:Choice>
  </mc:AlternateContent>
  <xr:revisionPtr revIDLastSave="0" documentId="13_ncr:1_{1070CE8A-F70C-4619-AE78-46AEFBD7671A}" xr6:coauthVersionLast="47" xr6:coauthVersionMax="47" xr10:uidLastSave="{00000000-0000-0000-0000-000000000000}"/>
  <bookViews>
    <workbookView xWindow="22932" yWindow="-108" windowWidth="23256" windowHeight="12456" activeTab="3" xr2:uid="{00000000-000D-0000-FFFF-FFFF00000000}"/>
  </bookViews>
  <sheets>
    <sheet name="DATA RAW" sheetId="1" r:id="rId1"/>
    <sheet name="DATA SIAP" sheetId="5" r:id="rId2"/>
    <sheet name="DATA TRAINING 80%" sheetId="6" r:id="rId3"/>
    <sheet name="DATA TESTING 20%" sheetId="7" r:id="rId4"/>
  </sheets>
  <definedNames>
    <definedName name="_xlnm._FilterDatabase" localSheetId="1" hidden="1">'DATA SIAP'!$O$1:$T$1422</definedName>
    <definedName name="_xlnm._FilterDatabase" localSheetId="3" hidden="1">'DATA TESTING 20%'!$A$1:$F$109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7" l="1"/>
  <c r="AC3" i="7"/>
  <c r="AB3" i="7"/>
  <c r="AA3" i="7"/>
  <c r="Z3" i="7"/>
  <c r="X3" i="7"/>
  <c r="W3" i="7"/>
  <c r="V3" i="7"/>
  <c r="P2" i="7"/>
  <c r="Y11" i="6"/>
  <c r="AB8" i="6"/>
  <c r="AA8" i="6"/>
  <c r="Z8" i="6"/>
  <c r="Y8" i="6"/>
  <c r="AI4" i="7"/>
  <c r="AF2" i="7"/>
  <c r="Q5" i="7"/>
  <c r="P6" i="7"/>
  <c r="P5" i="7"/>
  <c r="Q2" i="7"/>
  <c r="V41" i="7" s="1"/>
  <c r="R2" i="7"/>
  <c r="S3" i="7"/>
  <c r="S5" i="7"/>
  <c r="W2" i="6"/>
  <c r="T3" i="6"/>
  <c r="R2" i="6"/>
  <c r="AB53" i="7"/>
  <c r="G3" i="6"/>
  <c r="G4" i="6"/>
  <c r="A15" i="6"/>
  <c r="A14" i="6"/>
  <c r="C6" i="6"/>
  <c r="D6" i="6"/>
  <c r="E6" i="6"/>
  <c r="B6" i="6"/>
  <c r="B5" i="6"/>
  <c r="C5" i="6"/>
  <c r="D5" i="6"/>
  <c r="E5" i="6"/>
  <c r="C3" i="6"/>
  <c r="D3" i="6"/>
  <c r="E3" i="6"/>
  <c r="B3" i="6"/>
  <c r="B2" i="6"/>
  <c r="C2" i="6"/>
  <c r="D2" i="6"/>
  <c r="E2" i="6"/>
  <c r="Q6" i="7"/>
  <c r="R6" i="7"/>
  <c r="S6" i="7"/>
  <c r="R5" i="7"/>
  <c r="AB7" i="7" s="1"/>
  <c r="Q3" i="7"/>
  <c r="V23" i="7" s="1"/>
  <c r="R3" i="7"/>
  <c r="P3" i="7"/>
  <c r="S2" i="7"/>
  <c r="AF3" i="7"/>
  <c r="R3" i="6"/>
  <c r="B18" i="6"/>
  <c r="B19" i="6"/>
  <c r="AI3" i="7" l="1"/>
  <c r="AH3" i="7"/>
  <c r="AA11" i="6"/>
  <c r="Z11" i="6"/>
  <c r="W66" i="7"/>
  <c r="V56" i="7"/>
  <c r="AC97" i="7"/>
  <c r="AA44" i="7"/>
  <c r="U61" i="7"/>
  <c r="Z17" i="7"/>
  <c r="Z79" i="7"/>
  <c r="Z15" i="7"/>
  <c r="Z80" i="7"/>
  <c r="Z33" i="7"/>
  <c r="Z16" i="7"/>
  <c r="Z97" i="7"/>
  <c r="Z49" i="7"/>
  <c r="Z32" i="7"/>
  <c r="Z47" i="7"/>
  <c r="Z96" i="7"/>
  <c r="Z18" i="7"/>
  <c r="U4" i="7"/>
  <c r="AH4" i="7" s="1"/>
  <c r="V40" i="7"/>
  <c r="U47" i="7"/>
  <c r="V25" i="7"/>
  <c r="U46" i="7"/>
  <c r="AB69" i="7"/>
  <c r="U45" i="7"/>
  <c r="AB55" i="7"/>
  <c r="AB54" i="7"/>
  <c r="AA28" i="7"/>
  <c r="W83" i="7"/>
  <c r="AA108" i="7"/>
  <c r="AA26" i="7"/>
  <c r="AB39" i="7"/>
  <c r="W8" i="7"/>
  <c r="U31" i="7"/>
  <c r="V10" i="7"/>
  <c r="U29" i="7"/>
  <c r="W67" i="7"/>
  <c r="AA107" i="7"/>
  <c r="AA12" i="7"/>
  <c r="AB38" i="7"/>
  <c r="V8" i="7"/>
  <c r="U16" i="7"/>
  <c r="U109" i="7"/>
  <c r="U15" i="7"/>
  <c r="W51" i="7"/>
  <c r="AA106" i="7"/>
  <c r="AA11" i="7"/>
  <c r="AB37" i="7"/>
  <c r="AA9" i="7"/>
  <c r="AA43" i="7"/>
  <c r="U95" i="7"/>
  <c r="U14" i="7"/>
  <c r="W35" i="7"/>
  <c r="AA92" i="7"/>
  <c r="AA10" i="7"/>
  <c r="AB23" i="7"/>
  <c r="AB10" i="7"/>
  <c r="AA27" i="7"/>
  <c r="U94" i="7"/>
  <c r="U13" i="7"/>
  <c r="W19" i="7"/>
  <c r="AA91" i="7"/>
  <c r="AB103" i="7"/>
  <c r="AB22" i="7"/>
  <c r="AC9" i="7"/>
  <c r="U93" i="7"/>
  <c r="V105" i="7"/>
  <c r="AA90" i="7"/>
  <c r="AB102" i="7"/>
  <c r="AB21" i="7"/>
  <c r="X58" i="7"/>
  <c r="AA42" i="7"/>
  <c r="AC19" i="7"/>
  <c r="U79" i="7"/>
  <c r="V104" i="7"/>
  <c r="AA76" i="7"/>
  <c r="AB101" i="7"/>
  <c r="W99" i="7"/>
  <c r="AB8" i="7"/>
  <c r="U78" i="7"/>
  <c r="V89" i="7"/>
  <c r="AA75" i="7"/>
  <c r="AB87" i="7"/>
  <c r="AB6" i="7"/>
  <c r="V9" i="7"/>
  <c r="W4" i="7"/>
  <c r="AA13" i="7"/>
  <c r="U77" i="7"/>
  <c r="V88" i="7"/>
  <c r="AA74" i="7"/>
  <c r="AB86" i="7"/>
  <c r="AB5" i="7"/>
  <c r="U30" i="7"/>
  <c r="U63" i="7"/>
  <c r="V73" i="7"/>
  <c r="AA60" i="7"/>
  <c r="AB85" i="7"/>
  <c r="U62" i="7"/>
  <c r="V72" i="7"/>
  <c r="AA59" i="7"/>
  <c r="AB71" i="7"/>
  <c r="V57" i="7"/>
  <c r="AB70" i="7"/>
  <c r="AA58" i="7"/>
  <c r="Z95" i="7"/>
  <c r="Z81" i="7"/>
  <c r="Z65" i="7"/>
  <c r="Z64" i="7"/>
  <c r="Z31" i="7"/>
  <c r="Z9" i="7"/>
  <c r="Z63" i="7"/>
  <c r="Z48" i="7"/>
  <c r="V24" i="7"/>
  <c r="X13" i="7"/>
  <c r="X8" i="7"/>
  <c r="AC34" i="7"/>
  <c r="W82" i="7"/>
  <c r="X11" i="7"/>
  <c r="W65" i="7"/>
  <c r="AC32" i="7"/>
  <c r="U108" i="7"/>
  <c r="U92" i="7"/>
  <c r="U76" i="7"/>
  <c r="U60" i="7"/>
  <c r="U44" i="7"/>
  <c r="U28" i="7"/>
  <c r="U12" i="7"/>
  <c r="V102" i="7"/>
  <c r="V86" i="7"/>
  <c r="V70" i="7"/>
  <c r="V54" i="7"/>
  <c r="V38" i="7"/>
  <c r="V22" i="7"/>
  <c r="V6" i="7"/>
  <c r="W96" i="7"/>
  <c r="W80" i="7"/>
  <c r="W64" i="7"/>
  <c r="W48" i="7"/>
  <c r="W32" i="7"/>
  <c r="W16" i="7"/>
  <c r="X105" i="7"/>
  <c r="X89" i="7"/>
  <c r="X73" i="7"/>
  <c r="X57" i="7"/>
  <c r="X41" i="7"/>
  <c r="X25" i="7"/>
  <c r="X9" i="7"/>
  <c r="Z110" i="7"/>
  <c r="Z94" i="7"/>
  <c r="Z78" i="7"/>
  <c r="Z62" i="7"/>
  <c r="Z46" i="7"/>
  <c r="Z30" i="7"/>
  <c r="Z14" i="7"/>
  <c r="AA105" i="7"/>
  <c r="AA89" i="7"/>
  <c r="AA73" i="7"/>
  <c r="AA57" i="7"/>
  <c r="AA41" i="7"/>
  <c r="AA25" i="7"/>
  <c r="AB100" i="7"/>
  <c r="AB84" i="7"/>
  <c r="AB68" i="7"/>
  <c r="AB52" i="7"/>
  <c r="AB36" i="7"/>
  <c r="AB20" i="7"/>
  <c r="AB4" i="7"/>
  <c r="AC95" i="7"/>
  <c r="AC79" i="7"/>
  <c r="AC63" i="7"/>
  <c r="AC47" i="7"/>
  <c r="AC31" i="7"/>
  <c r="AC15" i="7"/>
  <c r="X44" i="7"/>
  <c r="X91" i="7"/>
  <c r="V7" i="7"/>
  <c r="X42" i="7"/>
  <c r="AC16" i="7"/>
  <c r="U107" i="7"/>
  <c r="U91" i="7"/>
  <c r="U75" i="7"/>
  <c r="U59" i="7"/>
  <c r="U43" i="7"/>
  <c r="U27" i="7"/>
  <c r="U11" i="7"/>
  <c r="V101" i="7"/>
  <c r="V85" i="7"/>
  <c r="V69" i="7"/>
  <c r="V53" i="7"/>
  <c r="V37" i="7"/>
  <c r="V21" i="7"/>
  <c r="V5" i="7"/>
  <c r="W95" i="7"/>
  <c r="W79" i="7"/>
  <c r="W63" i="7"/>
  <c r="W47" i="7"/>
  <c r="W31" i="7"/>
  <c r="W15" i="7"/>
  <c r="X104" i="7"/>
  <c r="X88" i="7"/>
  <c r="X72" i="7"/>
  <c r="X56" i="7"/>
  <c r="X40" i="7"/>
  <c r="X24" i="7"/>
  <c r="Z109" i="7"/>
  <c r="Z93" i="7"/>
  <c r="Z77" i="7"/>
  <c r="Z61" i="7"/>
  <c r="Z45" i="7"/>
  <c r="Z29" i="7"/>
  <c r="Z13" i="7"/>
  <c r="AA104" i="7"/>
  <c r="AA88" i="7"/>
  <c r="AA72" i="7"/>
  <c r="AA56" i="7"/>
  <c r="AA40" i="7"/>
  <c r="AA24" i="7"/>
  <c r="AA8" i="7"/>
  <c r="AB99" i="7"/>
  <c r="AB83" i="7"/>
  <c r="AB67" i="7"/>
  <c r="AB51" i="7"/>
  <c r="AB35" i="7"/>
  <c r="AB19" i="7"/>
  <c r="AC110" i="7"/>
  <c r="AC94" i="7"/>
  <c r="AC78" i="7"/>
  <c r="AC62" i="7"/>
  <c r="AC46" i="7"/>
  <c r="AC30" i="7"/>
  <c r="AC14" i="7"/>
  <c r="X12" i="7"/>
  <c r="W18" i="7"/>
  <c r="AC49" i="7"/>
  <c r="V55" i="7"/>
  <c r="X106" i="7"/>
  <c r="AC64" i="7"/>
  <c r="U106" i="7"/>
  <c r="U90" i="7"/>
  <c r="U74" i="7"/>
  <c r="U58" i="7"/>
  <c r="U42" i="7"/>
  <c r="U26" i="7"/>
  <c r="U10" i="7"/>
  <c r="V100" i="7"/>
  <c r="V84" i="7"/>
  <c r="V68" i="7"/>
  <c r="V52" i="7"/>
  <c r="V36" i="7"/>
  <c r="V20" i="7"/>
  <c r="V4" i="7"/>
  <c r="W94" i="7"/>
  <c r="W78" i="7"/>
  <c r="W62" i="7"/>
  <c r="W46" i="7"/>
  <c r="W30" i="7"/>
  <c r="W14" i="7"/>
  <c r="X103" i="7"/>
  <c r="X87" i="7"/>
  <c r="X71" i="7"/>
  <c r="X55" i="7"/>
  <c r="X39" i="7"/>
  <c r="X23" i="7"/>
  <c r="X7" i="7"/>
  <c r="Z108" i="7"/>
  <c r="Z92" i="7"/>
  <c r="Z76" i="7"/>
  <c r="Z60" i="7"/>
  <c r="Z44" i="7"/>
  <c r="Z28" i="7"/>
  <c r="Z12" i="7"/>
  <c r="AA103" i="7"/>
  <c r="AA87" i="7"/>
  <c r="AA71" i="7"/>
  <c r="AA55" i="7"/>
  <c r="AA39" i="7"/>
  <c r="AA23" i="7"/>
  <c r="AA7" i="7"/>
  <c r="AB98" i="7"/>
  <c r="AB82" i="7"/>
  <c r="AB66" i="7"/>
  <c r="AB50" i="7"/>
  <c r="AB34" i="7"/>
  <c r="AB18" i="7"/>
  <c r="AC109" i="7"/>
  <c r="AC93" i="7"/>
  <c r="AC77" i="7"/>
  <c r="AC61" i="7"/>
  <c r="AC45" i="7"/>
  <c r="AC29" i="7"/>
  <c r="AC13" i="7"/>
  <c r="X92" i="7"/>
  <c r="AC18" i="7"/>
  <c r="W98" i="7"/>
  <c r="X43" i="7"/>
  <c r="AC33" i="7"/>
  <c r="V39" i="7"/>
  <c r="W81" i="7"/>
  <c r="W33" i="7"/>
  <c r="X26" i="7"/>
  <c r="AC48" i="7"/>
  <c r="U105" i="7"/>
  <c r="U89" i="7"/>
  <c r="U73" i="7"/>
  <c r="U57" i="7"/>
  <c r="U41" i="7"/>
  <c r="U25" i="7"/>
  <c r="U9" i="7"/>
  <c r="V99" i="7"/>
  <c r="V83" i="7"/>
  <c r="V67" i="7"/>
  <c r="V51" i="7"/>
  <c r="V35" i="7"/>
  <c r="V19" i="7"/>
  <c r="W109" i="7"/>
  <c r="W93" i="7"/>
  <c r="W77" i="7"/>
  <c r="W61" i="7"/>
  <c r="W45" i="7"/>
  <c r="W29" i="7"/>
  <c r="W13" i="7"/>
  <c r="X102" i="7"/>
  <c r="X86" i="7"/>
  <c r="X70" i="7"/>
  <c r="X54" i="7"/>
  <c r="X38" i="7"/>
  <c r="X22" i="7"/>
  <c r="X6" i="7"/>
  <c r="Z107" i="7"/>
  <c r="Z91" i="7"/>
  <c r="Z75" i="7"/>
  <c r="Z59" i="7"/>
  <c r="Z43" i="7"/>
  <c r="Z27" i="7"/>
  <c r="Z11" i="7"/>
  <c r="AA102" i="7"/>
  <c r="AA86" i="7"/>
  <c r="AA70" i="7"/>
  <c r="AA54" i="7"/>
  <c r="AA38" i="7"/>
  <c r="AA22" i="7"/>
  <c r="AA6" i="7"/>
  <c r="AB97" i="7"/>
  <c r="AB81" i="7"/>
  <c r="AB65" i="7"/>
  <c r="AB49" i="7"/>
  <c r="AB33" i="7"/>
  <c r="AB17" i="7"/>
  <c r="AC108" i="7"/>
  <c r="AC92" i="7"/>
  <c r="AC76" i="7"/>
  <c r="AC60" i="7"/>
  <c r="AC44" i="7"/>
  <c r="AC28" i="7"/>
  <c r="AC12" i="7"/>
  <c r="X76" i="7"/>
  <c r="AC82" i="7"/>
  <c r="W34" i="7"/>
  <c r="AC81" i="7"/>
  <c r="W97" i="7"/>
  <c r="X10" i="7"/>
  <c r="U104" i="7"/>
  <c r="U88" i="7"/>
  <c r="U72" i="7"/>
  <c r="U56" i="7"/>
  <c r="U40" i="7"/>
  <c r="U24" i="7"/>
  <c r="U8" i="7"/>
  <c r="V98" i="7"/>
  <c r="V82" i="7"/>
  <c r="V66" i="7"/>
  <c r="V50" i="7"/>
  <c r="V34" i="7"/>
  <c r="V18" i="7"/>
  <c r="W108" i="7"/>
  <c r="W92" i="7"/>
  <c r="W76" i="7"/>
  <c r="W60" i="7"/>
  <c r="W44" i="7"/>
  <c r="W28" i="7"/>
  <c r="W12" i="7"/>
  <c r="X101" i="7"/>
  <c r="X85" i="7"/>
  <c r="X69" i="7"/>
  <c r="X53" i="7"/>
  <c r="X37" i="7"/>
  <c r="X21" i="7"/>
  <c r="X5" i="7"/>
  <c r="Z106" i="7"/>
  <c r="Z90" i="7"/>
  <c r="Z74" i="7"/>
  <c r="Z58" i="7"/>
  <c r="Z42" i="7"/>
  <c r="Z26" i="7"/>
  <c r="Z10" i="7"/>
  <c r="AA101" i="7"/>
  <c r="AA85" i="7"/>
  <c r="AA69" i="7"/>
  <c r="AA53" i="7"/>
  <c r="AA37" i="7"/>
  <c r="AA21" i="7"/>
  <c r="AA5" i="7"/>
  <c r="AB96" i="7"/>
  <c r="AB80" i="7"/>
  <c r="AB64" i="7"/>
  <c r="AB48" i="7"/>
  <c r="AB32" i="7"/>
  <c r="AB16" i="7"/>
  <c r="AC107" i="7"/>
  <c r="AC91" i="7"/>
  <c r="AC75" i="7"/>
  <c r="AC59" i="7"/>
  <c r="AC43" i="7"/>
  <c r="AC27" i="7"/>
  <c r="AC11" i="7"/>
  <c r="U103" i="7"/>
  <c r="U87" i="7"/>
  <c r="U71" i="7"/>
  <c r="U55" i="7"/>
  <c r="U39" i="7"/>
  <c r="U23" i="7"/>
  <c r="U7" i="7"/>
  <c r="V97" i="7"/>
  <c r="V81" i="7"/>
  <c r="V65" i="7"/>
  <c r="V49" i="7"/>
  <c r="V33" i="7"/>
  <c r="V17" i="7"/>
  <c r="W107" i="7"/>
  <c r="W91" i="7"/>
  <c r="W75" i="7"/>
  <c r="W59" i="7"/>
  <c r="W43" i="7"/>
  <c r="W27" i="7"/>
  <c r="W11" i="7"/>
  <c r="X100" i="7"/>
  <c r="X84" i="7"/>
  <c r="X68" i="7"/>
  <c r="X52" i="7"/>
  <c r="X36" i="7"/>
  <c r="X20" i="7"/>
  <c r="X4" i="7"/>
  <c r="Z105" i="7"/>
  <c r="Z89" i="7"/>
  <c r="Z73" i="7"/>
  <c r="Z57" i="7"/>
  <c r="Z41" i="7"/>
  <c r="Z25" i="7"/>
  <c r="AA100" i="7"/>
  <c r="AA84" i="7"/>
  <c r="AA68" i="7"/>
  <c r="AA52" i="7"/>
  <c r="AA36" i="7"/>
  <c r="AA20" i="7"/>
  <c r="AA4" i="7"/>
  <c r="AB95" i="7"/>
  <c r="AB79" i="7"/>
  <c r="AB63" i="7"/>
  <c r="AB47" i="7"/>
  <c r="AB31" i="7"/>
  <c r="AB15" i="7"/>
  <c r="AC106" i="7"/>
  <c r="AC90" i="7"/>
  <c r="AC74" i="7"/>
  <c r="AC58" i="7"/>
  <c r="AC42" i="7"/>
  <c r="AC26" i="7"/>
  <c r="AC10" i="7"/>
  <c r="AC98" i="7"/>
  <c r="X75" i="7"/>
  <c r="V87" i="7"/>
  <c r="X74" i="7"/>
  <c r="U102" i="7"/>
  <c r="U86" i="7"/>
  <c r="U70" i="7"/>
  <c r="U54" i="7"/>
  <c r="U38" i="7"/>
  <c r="U22" i="7"/>
  <c r="U6" i="7"/>
  <c r="V96" i="7"/>
  <c r="V80" i="7"/>
  <c r="V64" i="7"/>
  <c r="V48" i="7"/>
  <c r="V32" i="7"/>
  <c r="V16" i="7"/>
  <c r="W106" i="7"/>
  <c r="W90" i="7"/>
  <c r="W74" i="7"/>
  <c r="W58" i="7"/>
  <c r="W42" i="7"/>
  <c r="W26" i="7"/>
  <c r="W10" i="7"/>
  <c r="X99" i="7"/>
  <c r="X83" i="7"/>
  <c r="X67" i="7"/>
  <c r="X51" i="7"/>
  <c r="X35" i="7"/>
  <c r="X19" i="7"/>
  <c r="U110" i="7"/>
  <c r="Z104" i="7"/>
  <c r="Z88" i="7"/>
  <c r="Z72" i="7"/>
  <c r="Z56" i="7"/>
  <c r="Z40" i="7"/>
  <c r="Z24" i="7"/>
  <c r="Z8" i="7"/>
  <c r="AA99" i="7"/>
  <c r="AA83" i="7"/>
  <c r="AA67" i="7"/>
  <c r="AA51" i="7"/>
  <c r="AA35" i="7"/>
  <c r="AA19" i="7"/>
  <c r="AB110" i="7"/>
  <c r="AB94" i="7"/>
  <c r="AB78" i="7"/>
  <c r="AB62" i="7"/>
  <c r="AB46" i="7"/>
  <c r="AB30" i="7"/>
  <c r="AB14" i="7"/>
  <c r="AC105" i="7"/>
  <c r="AC89" i="7"/>
  <c r="AC73" i="7"/>
  <c r="AC57" i="7"/>
  <c r="AC41" i="7"/>
  <c r="AC25" i="7"/>
  <c r="X60" i="7"/>
  <c r="X59" i="7"/>
  <c r="X90" i="7"/>
  <c r="U101" i="7"/>
  <c r="U85" i="7"/>
  <c r="U69" i="7"/>
  <c r="U53" i="7"/>
  <c r="U37" i="7"/>
  <c r="U21" i="7"/>
  <c r="U5" i="7"/>
  <c r="V95" i="7"/>
  <c r="V79" i="7"/>
  <c r="V63" i="7"/>
  <c r="V47" i="7"/>
  <c r="V31" i="7"/>
  <c r="V15" i="7"/>
  <c r="W105" i="7"/>
  <c r="W89" i="7"/>
  <c r="W73" i="7"/>
  <c r="W57" i="7"/>
  <c r="W41" i="7"/>
  <c r="W25" i="7"/>
  <c r="W9" i="7"/>
  <c r="X98" i="7"/>
  <c r="X82" i="7"/>
  <c r="X66" i="7"/>
  <c r="X50" i="7"/>
  <c r="X34" i="7"/>
  <c r="X18" i="7"/>
  <c r="V110" i="7"/>
  <c r="Z103" i="7"/>
  <c r="Z87" i="7"/>
  <c r="Z71" i="7"/>
  <c r="Z55" i="7"/>
  <c r="Z39" i="7"/>
  <c r="Z23" i="7"/>
  <c r="Z7" i="7"/>
  <c r="AA98" i="7"/>
  <c r="AA82" i="7"/>
  <c r="AA66" i="7"/>
  <c r="AA50" i="7"/>
  <c r="AA34" i="7"/>
  <c r="AA18" i="7"/>
  <c r="AB109" i="7"/>
  <c r="AB93" i="7"/>
  <c r="AB77" i="7"/>
  <c r="AB61" i="7"/>
  <c r="AB45" i="7"/>
  <c r="AB29" i="7"/>
  <c r="AB13" i="7"/>
  <c r="AC104" i="7"/>
  <c r="AC88" i="7"/>
  <c r="AC72" i="7"/>
  <c r="AC56" i="7"/>
  <c r="AC40" i="7"/>
  <c r="AC24" i="7"/>
  <c r="AC8" i="7"/>
  <c r="U100" i="7"/>
  <c r="U84" i="7"/>
  <c r="U68" i="7"/>
  <c r="U52" i="7"/>
  <c r="U36" i="7"/>
  <c r="U20" i="7"/>
  <c r="V94" i="7"/>
  <c r="V78" i="7"/>
  <c r="V62" i="7"/>
  <c r="V46" i="7"/>
  <c r="V30" i="7"/>
  <c r="V14" i="7"/>
  <c r="W104" i="7"/>
  <c r="W88" i="7"/>
  <c r="W72" i="7"/>
  <c r="W56" i="7"/>
  <c r="W40" i="7"/>
  <c r="W24" i="7"/>
  <c r="X97" i="7"/>
  <c r="X81" i="7"/>
  <c r="X65" i="7"/>
  <c r="X49" i="7"/>
  <c r="X33" i="7"/>
  <c r="X17" i="7"/>
  <c r="W110" i="7"/>
  <c r="Z102" i="7"/>
  <c r="Z86" i="7"/>
  <c r="Z70" i="7"/>
  <c r="Z54" i="7"/>
  <c r="Z38" i="7"/>
  <c r="Z22" i="7"/>
  <c r="Z6" i="7"/>
  <c r="AA97" i="7"/>
  <c r="AA81" i="7"/>
  <c r="AA65" i="7"/>
  <c r="AA49" i="7"/>
  <c r="AA33" i="7"/>
  <c r="AA17" i="7"/>
  <c r="AB108" i="7"/>
  <c r="AB92" i="7"/>
  <c r="AB76" i="7"/>
  <c r="AB60" i="7"/>
  <c r="AB44" i="7"/>
  <c r="AB28" i="7"/>
  <c r="AB12" i="7"/>
  <c r="AC103" i="7"/>
  <c r="AC87" i="7"/>
  <c r="AC71" i="7"/>
  <c r="AC55" i="7"/>
  <c r="AC39" i="7"/>
  <c r="AC23" i="7"/>
  <c r="AC7" i="7"/>
  <c r="U99" i="7"/>
  <c r="U83" i="7"/>
  <c r="U67" i="7"/>
  <c r="U51" i="7"/>
  <c r="U35" i="7"/>
  <c r="U19" i="7"/>
  <c r="V109" i="7"/>
  <c r="V93" i="7"/>
  <c r="V77" i="7"/>
  <c r="V61" i="7"/>
  <c r="V45" i="7"/>
  <c r="V29" i="7"/>
  <c r="V13" i="7"/>
  <c r="W103" i="7"/>
  <c r="W87" i="7"/>
  <c r="W71" i="7"/>
  <c r="W55" i="7"/>
  <c r="W39" i="7"/>
  <c r="W23" i="7"/>
  <c r="W7" i="7"/>
  <c r="X96" i="7"/>
  <c r="X80" i="7"/>
  <c r="X64" i="7"/>
  <c r="X48" i="7"/>
  <c r="X32" i="7"/>
  <c r="X16" i="7"/>
  <c r="X109" i="7"/>
  <c r="Z101" i="7"/>
  <c r="Z85" i="7"/>
  <c r="Z69" i="7"/>
  <c r="Z53" i="7"/>
  <c r="Z37" i="7"/>
  <c r="Z21" i="7"/>
  <c r="Z5" i="7"/>
  <c r="AA96" i="7"/>
  <c r="AA80" i="7"/>
  <c r="AA64" i="7"/>
  <c r="AA48" i="7"/>
  <c r="AA32" i="7"/>
  <c r="AA16" i="7"/>
  <c r="AB107" i="7"/>
  <c r="AB91" i="7"/>
  <c r="AB75" i="7"/>
  <c r="AB59" i="7"/>
  <c r="AB43" i="7"/>
  <c r="AB27" i="7"/>
  <c r="AB11" i="7"/>
  <c r="AC102" i="7"/>
  <c r="AC86" i="7"/>
  <c r="AC70" i="7"/>
  <c r="AC54" i="7"/>
  <c r="AC38" i="7"/>
  <c r="AC22" i="7"/>
  <c r="AC6" i="7"/>
  <c r="X28" i="7"/>
  <c r="AC50" i="7"/>
  <c r="X107" i="7"/>
  <c r="X27" i="7"/>
  <c r="AC65" i="7"/>
  <c r="V71" i="7"/>
  <c r="W17" i="7"/>
  <c r="AC80" i="7"/>
  <c r="U98" i="7"/>
  <c r="U82" i="7"/>
  <c r="U66" i="7"/>
  <c r="U50" i="7"/>
  <c r="U34" i="7"/>
  <c r="U18" i="7"/>
  <c r="V108" i="7"/>
  <c r="V92" i="7"/>
  <c r="V76" i="7"/>
  <c r="V60" i="7"/>
  <c r="V44" i="7"/>
  <c r="V28" i="7"/>
  <c r="V12" i="7"/>
  <c r="W102" i="7"/>
  <c r="W86" i="7"/>
  <c r="W70" i="7"/>
  <c r="W54" i="7"/>
  <c r="W38" i="7"/>
  <c r="W22" i="7"/>
  <c r="W6" i="7"/>
  <c r="X95" i="7"/>
  <c r="X79" i="7"/>
  <c r="X63" i="7"/>
  <c r="X47" i="7"/>
  <c r="X31" i="7"/>
  <c r="X15" i="7"/>
  <c r="X110" i="7"/>
  <c r="Z100" i="7"/>
  <c r="Z84" i="7"/>
  <c r="Z68" i="7"/>
  <c r="Z52" i="7"/>
  <c r="Z36" i="7"/>
  <c r="Z20" i="7"/>
  <c r="Z4" i="7"/>
  <c r="AA95" i="7"/>
  <c r="AA79" i="7"/>
  <c r="AA63" i="7"/>
  <c r="AA47" i="7"/>
  <c r="AA31" i="7"/>
  <c r="AA15" i="7"/>
  <c r="AB106" i="7"/>
  <c r="AB90" i="7"/>
  <c r="AB74" i="7"/>
  <c r="AB58" i="7"/>
  <c r="AB42" i="7"/>
  <c r="AB26" i="7"/>
  <c r="AC101" i="7"/>
  <c r="AC85" i="7"/>
  <c r="AC69" i="7"/>
  <c r="AC53" i="7"/>
  <c r="AC37" i="7"/>
  <c r="AC21" i="7"/>
  <c r="AC5" i="7"/>
  <c r="AC66" i="7"/>
  <c r="W50" i="7"/>
  <c r="AC17" i="7"/>
  <c r="V103" i="7"/>
  <c r="W49" i="7"/>
  <c r="AC96" i="7"/>
  <c r="U97" i="7"/>
  <c r="U81" i="7"/>
  <c r="U65" i="7"/>
  <c r="U49" i="7"/>
  <c r="U33" i="7"/>
  <c r="U17" i="7"/>
  <c r="V107" i="7"/>
  <c r="V91" i="7"/>
  <c r="V75" i="7"/>
  <c r="V59" i="7"/>
  <c r="V43" i="7"/>
  <c r="V27" i="7"/>
  <c r="V11" i="7"/>
  <c r="W101" i="7"/>
  <c r="W85" i="7"/>
  <c r="W69" i="7"/>
  <c r="W53" i="7"/>
  <c r="W37" i="7"/>
  <c r="W21" i="7"/>
  <c r="W5" i="7"/>
  <c r="X94" i="7"/>
  <c r="X78" i="7"/>
  <c r="X62" i="7"/>
  <c r="X46" i="7"/>
  <c r="X30" i="7"/>
  <c r="X14" i="7"/>
  <c r="Z99" i="7"/>
  <c r="Z83" i="7"/>
  <c r="Z67" i="7"/>
  <c r="Z51" i="7"/>
  <c r="Z35" i="7"/>
  <c r="Z19" i="7"/>
  <c r="AA110" i="7"/>
  <c r="AA94" i="7"/>
  <c r="AA78" i="7"/>
  <c r="AA62" i="7"/>
  <c r="AA46" i="7"/>
  <c r="AA30" i="7"/>
  <c r="AA14" i="7"/>
  <c r="AB105" i="7"/>
  <c r="AB89" i="7"/>
  <c r="AB73" i="7"/>
  <c r="AB57" i="7"/>
  <c r="AB41" i="7"/>
  <c r="AB25" i="7"/>
  <c r="AB9" i="7"/>
  <c r="AC100" i="7"/>
  <c r="AC84" i="7"/>
  <c r="AC68" i="7"/>
  <c r="AC52" i="7"/>
  <c r="AC36" i="7"/>
  <c r="AC20" i="7"/>
  <c r="AC4" i="7"/>
  <c r="X108" i="7"/>
  <c r="U96" i="7"/>
  <c r="U80" i="7"/>
  <c r="U64" i="7"/>
  <c r="U48" i="7"/>
  <c r="U32" i="7"/>
  <c r="V106" i="7"/>
  <c r="V90" i="7"/>
  <c r="V74" i="7"/>
  <c r="V58" i="7"/>
  <c r="V42" i="7"/>
  <c r="V26" i="7"/>
  <c r="W100" i="7"/>
  <c r="W84" i="7"/>
  <c r="W68" i="7"/>
  <c r="W52" i="7"/>
  <c r="W36" i="7"/>
  <c r="W20" i="7"/>
  <c r="X93" i="7"/>
  <c r="X77" i="7"/>
  <c r="X61" i="7"/>
  <c r="X45" i="7"/>
  <c r="X29" i="7"/>
  <c r="Z98" i="7"/>
  <c r="Z82" i="7"/>
  <c r="Z66" i="7"/>
  <c r="Z50" i="7"/>
  <c r="Z34" i="7"/>
  <c r="AA109" i="7"/>
  <c r="AA93" i="7"/>
  <c r="AA77" i="7"/>
  <c r="AA61" i="7"/>
  <c r="AA45" i="7"/>
  <c r="AA29" i="7"/>
  <c r="AB104" i="7"/>
  <c r="AB88" i="7"/>
  <c r="AB72" i="7"/>
  <c r="AB56" i="7"/>
  <c r="AB40" i="7"/>
  <c r="AB24" i="7"/>
  <c r="AC99" i="7"/>
  <c r="AC83" i="7"/>
  <c r="AC67" i="7"/>
  <c r="AC51" i="7"/>
  <c r="AC35" i="7"/>
  <c r="N350" i="6"/>
  <c r="J113" i="6"/>
  <c r="I38" i="6"/>
  <c r="G101" i="6"/>
  <c r="H11" i="6"/>
  <c r="G38" i="6"/>
  <c r="G46" i="6"/>
  <c r="G317" i="6"/>
  <c r="J207" i="6"/>
  <c r="H22" i="6"/>
  <c r="G415" i="6"/>
  <c r="G368" i="6"/>
  <c r="G314" i="6"/>
  <c r="G250" i="6"/>
  <c r="G170" i="6"/>
  <c r="G104" i="6"/>
  <c r="J196" i="6"/>
  <c r="G194" i="6"/>
  <c r="G414" i="6"/>
  <c r="G367" i="6"/>
  <c r="G313" i="6"/>
  <c r="G234" i="6"/>
  <c r="G169" i="6"/>
  <c r="G103" i="6"/>
  <c r="J195" i="6"/>
  <c r="G193" i="6"/>
  <c r="G410" i="6"/>
  <c r="G366" i="6"/>
  <c r="G298" i="6"/>
  <c r="G233" i="6"/>
  <c r="G168" i="6"/>
  <c r="G102" i="6"/>
  <c r="J194" i="6"/>
  <c r="G402" i="6"/>
  <c r="G353" i="6"/>
  <c r="G297" i="6"/>
  <c r="G232" i="6"/>
  <c r="G167" i="6"/>
  <c r="J161" i="6"/>
  <c r="G23" i="6"/>
  <c r="G426" i="6"/>
  <c r="G332" i="6"/>
  <c r="J335" i="6"/>
  <c r="G319" i="6"/>
  <c r="G42" i="6"/>
  <c r="G417" i="6"/>
  <c r="G256" i="6"/>
  <c r="G122" i="6"/>
  <c r="G369" i="6"/>
  <c r="G14" i="6"/>
  <c r="O404" i="6"/>
  <c r="G401" i="6"/>
  <c r="G352" i="6"/>
  <c r="G296" i="6"/>
  <c r="G231" i="6"/>
  <c r="G166" i="6"/>
  <c r="G83" i="6"/>
  <c r="J18" i="6"/>
  <c r="G274" i="6"/>
  <c r="G400" i="6"/>
  <c r="G351" i="6"/>
  <c r="G295" i="6"/>
  <c r="G230" i="6"/>
  <c r="G150" i="6"/>
  <c r="G81" i="6"/>
  <c r="J17" i="6"/>
  <c r="G254" i="6"/>
  <c r="M192" i="6"/>
  <c r="G399" i="6"/>
  <c r="G350" i="6"/>
  <c r="G294" i="6"/>
  <c r="G214" i="6"/>
  <c r="G149" i="6"/>
  <c r="G78" i="6"/>
  <c r="J15" i="6"/>
  <c r="G384" i="6"/>
  <c r="G129" i="6"/>
  <c r="J336" i="6"/>
  <c r="G383" i="6"/>
  <c r="G128" i="6"/>
  <c r="G257" i="6"/>
  <c r="J334" i="6"/>
  <c r="G318" i="6"/>
  <c r="G21" i="6"/>
  <c r="G416" i="6"/>
  <c r="G186" i="6"/>
  <c r="G105" i="6"/>
  <c r="L100" i="6"/>
  <c r="G398" i="6"/>
  <c r="G349" i="6"/>
  <c r="G278" i="6"/>
  <c r="G213" i="6"/>
  <c r="G148" i="6"/>
  <c r="G74" i="6"/>
  <c r="L270" i="6"/>
  <c r="G333" i="6"/>
  <c r="G51" i="6"/>
  <c r="G258" i="6"/>
  <c r="J12" i="6"/>
  <c r="G418" i="6"/>
  <c r="G126" i="6"/>
  <c r="J307" i="6"/>
  <c r="G394" i="6"/>
  <c r="G336" i="6"/>
  <c r="G277" i="6"/>
  <c r="G212" i="6"/>
  <c r="G147" i="6"/>
  <c r="G73" i="6"/>
  <c r="L269" i="6"/>
  <c r="G382" i="6"/>
  <c r="G192" i="6"/>
  <c r="J11" i="6"/>
  <c r="G370" i="6"/>
  <c r="G190" i="6"/>
  <c r="G386" i="6"/>
  <c r="G335" i="6"/>
  <c r="G276" i="6"/>
  <c r="G211" i="6"/>
  <c r="G146" i="6"/>
  <c r="G54" i="6"/>
  <c r="J413" i="6"/>
  <c r="G385" i="6"/>
  <c r="G334" i="6"/>
  <c r="G275" i="6"/>
  <c r="G210" i="6"/>
  <c r="G130" i="6"/>
  <c r="G53" i="6"/>
  <c r="J337" i="6"/>
  <c r="H326" i="6"/>
  <c r="H70" i="6"/>
  <c r="I210" i="6"/>
  <c r="I6" i="6"/>
  <c r="N11" i="6"/>
  <c r="N14" i="6"/>
  <c r="N30" i="6"/>
  <c r="N46" i="6"/>
  <c r="N62" i="6"/>
  <c r="N78" i="6"/>
  <c r="N94" i="6"/>
  <c r="N110" i="6"/>
  <c r="N126" i="6"/>
  <c r="N142" i="6"/>
  <c r="N158" i="6"/>
  <c r="N174" i="6"/>
  <c r="N190" i="6"/>
  <c r="N206" i="6"/>
  <c r="N222" i="6"/>
  <c r="N238" i="6"/>
  <c r="N254" i="6"/>
  <c r="N270" i="6"/>
  <c r="N286" i="6"/>
  <c r="N302" i="6"/>
  <c r="N15" i="6"/>
  <c r="N31" i="6"/>
  <c r="N47" i="6"/>
  <c r="N63" i="6"/>
  <c r="N17" i="6"/>
  <c r="N33" i="6"/>
  <c r="N49" i="6"/>
  <c r="N65" i="6"/>
  <c r="N81" i="6"/>
  <c r="N97" i="6"/>
  <c r="N113" i="6"/>
  <c r="N20" i="6"/>
  <c r="N36" i="6"/>
  <c r="N52" i="6"/>
  <c r="N16" i="6"/>
  <c r="N38" i="6"/>
  <c r="N58" i="6"/>
  <c r="N77" i="6"/>
  <c r="N96" i="6"/>
  <c r="N115" i="6"/>
  <c r="N132" i="6"/>
  <c r="N149" i="6"/>
  <c r="N166" i="6"/>
  <c r="N183" i="6"/>
  <c r="N200" i="6"/>
  <c r="N217" i="6"/>
  <c r="N234" i="6"/>
  <c r="N251" i="6"/>
  <c r="N268" i="6"/>
  <c r="N285" i="6"/>
  <c r="N303" i="6"/>
  <c r="N319" i="6"/>
  <c r="N335" i="6"/>
  <c r="N351" i="6"/>
  <c r="N367" i="6"/>
  <c r="N383" i="6"/>
  <c r="N399" i="6"/>
  <c r="N415" i="6"/>
  <c r="N18" i="6"/>
  <c r="N39" i="6"/>
  <c r="N59" i="6"/>
  <c r="N79" i="6"/>
  <c r="N98" i="6"/>
  <c r="N116" i="6"/>
  <c r="N133" i="6"/>
  <c r="N150" i="6"/>
  <c r="N167" i="6"/>
  <c r="N184" i="6"/>
  <c r="N201" i="6"/>
  <c r="N218" i="6"/>
  <c r="N235" i="6"/>
  <c r="N252" i="6"/>
  <c r="N269" i="6"/>
  <c r="N287" i="6"/>
  <c r="N304" i="6"/>
  <c r="N320" i="6"/>
  <c r="N336" i="6"/>
  <c r="N352" i="6"/>
  <c r="N368" i="6"/>
  <c r="N384" i="6"/>
  <c r="N400" i="6"/>
  <c r="N416" i="6"/>
  <c r="N19" i="6"/>
  <c r="N40" i="6"/>
  <c r="N60" i="6"/>
  <c r="N80" i="6"/>
  <c r="N99" i="6"/>
  <c r="N117" i="6"/>
  <c r="N134" i="6"/>
  <c r="N151" i="6"/>
  <c r="N168" i="6"/>
  <c r="N185" i="6"/>
  <c r="N202" i="6"/>
  <c r="N219" i="6"/>
  <c r="N236" i="6"/>
  <c r="N253" i="6"/>
  <c r="N271" i="6"/>
  <c r="N288" i="6"/>
  <c r="N305" i="6"/>
  <c r="N321" i="6"/>
  <c r="N337" i="6"/>
  <c r="N353" i="6"/>
  <c r="N369" i="6"/>
  <c r="N385" i="6"/>
  <c r="N401" i="6"/>
  <c r="N417" i="6"/>
  <c r="N21" i="6"/>
  <c r="N41" i="6"/>
  <c r="N61" i="6"/>
  <c r="N82" i="6"/>
  <c r="N100" i="6"/>
  <c r="N118" i="6"/>
  <c r="N135" i="6"/>
  <c r="N152" i="6"/>
  <c r="N169" i="6"/>
  <c r="N186" i="6"/>
  <c r="N203" i="6"/>
  <c r="N220" i="6"/>
  <c r="N237" i="6"/>
  <c r="N255" i="6"/>
  <c r="N272" i="6"/>
  <c r="N289" i="6"/>
  <c r="N306" i="6"/>
  <c r="N322" i="6"/>
  <c r="N338" i="6"/>
  <c r="N354" i="6"/>
  <c r="N370" i="6"/>
  <c r="N386" i="6"/>
  <c r="N402" i="6"/>
  <c r="N418" i="6"/>
  <c r="N22" i="6"/>
  <c r="N42" i="6"/>
  <c r="N64" i="6"/>
  <c r="N83" i="6"/>
  <c r="N101" i="6"/>
  <c r="N119" i="6"/>
  <c r="N136" i="6"/>
  <c r="N153" i="6"/>
  <c r="N170" i="6"/>
  <c r="N187" i="6"/>
  <c r="N204" i="6"/>
  <c r="N221" i="6"/>
  <c r="N239" i="6"/>
  <c r="N256" i="6"/>
  <c r="N273" i="6"/>
  <c r="N290" i="6"/>
  <c r="N307" i="6"/>
  <c r="N323" i="6"/>
  <c r="N339" i="6"/>
  <c r="N355" i="6"/>
  <c r="N371" i="6"/>
  <c r="N387" i="6"/>
  <c r="N403" i="6"/>
  <c r="N419" i="6"/>
  <c r="N23" i="6"/>
  <c r="N43" i="6"/>
  <c r="N66" i="6"/>
  <c r="N84" i="6"/>
  <c r="N102" i="6"/>
  <c r="N120" i="6"/>
  <c r="N137" i="6"/>
  <c r="N154" i="6"/>
  <c r="N171" i="6"/>
  <c r="N188" i="6"/>
  <c r="N205" i="6"/>
  <c r="N223" i="6"/>
  <c r="N240" i="6"/>
  <c r="N257" i="6"/>
  <c r="N274" i="6"/>
  <c r="N291" i="6"/>
  <c r="N308" i="6"/>
  <c r="N324" i="6"/>
  <c r="N340" i="6"/>
  <c r="N356" i="6"/>
  <c r="N372" i="6"/>
  <c r="N388" i="6"/>
  <c r="N404" i="6"/>
  <c r="N420" i="6"/>
  <c r="N24" i="6"/>
  <c r="N44" i="6"/>
  <c r="N67" i="6"/>
  <c r="N85" i="6"/>
  <c r="N103" i="6"/>
  <c r="N121" i="6"/>
  <c r="N138" i="6"/>
  <c r="N155" i="6"/>
  <c r="N172" i="6"/>
  <c r="N189" i="6"/>
  <c r="N207" i="6"/>
  <c r="N224" i="6"/>
  <c r="N241" i="6"/>
  <c r="N258" i="6"/>
  <c r="N275" i="6"/>
  <c r="N292" i="6"/>
  <c r="N309" i="6"/>
  <c r="N325" i="6"/>
  <c r="N341" i="6"/>
  <c r="N357" i="6"/>
  <c r="N373" i="6"/>
  <c r="N389" i="6"/>
  <c r="N405" i="6"/>
  <c r="N421" i="6"/>
  <c r="N25" i="6"/>
  <c r="N45" i="6"/>
  <c r="N68" i="6"/>
  <c r="N86" i="6"/>
  <c r="N104" i="6"/>
  <c r="N122" i="6"/>
  <c r="N139" i="6"/>
  <c r="N156" i="6"/>
  <c r="N173" i="6"/>
  <c r="N191" i="6"/>
  <c r="N208" i="6"/>
  <c r="N225" i="6"/>
  <c r="N242" i="6"/>
  <c r="N259" i="6"/>
  <c r="N276" i="6"/>
  <c r="N293" i="6"/>
  <c r="N310" i="6"/>
  <c r="N326" i="6"/>
  <c r="N342" i="6"/>
  <c r="N358" i="6"/>
  <c r="N374" i="6"/>
  <c r="N390" i="6"/>
  <c r="N406" i="6"/>
  <c r="N422" i="6"/>
  <c r="N26" i="6"/>
  <c r="N48" i="6"/>
  <c r="N69" i="6"/>
  <c r="N87" i="6"/>
  <c r="N105" i="6"/>
  <c r="N123" i="6"/>
  <c r="N140" i="6"/>
  <c r="N157" i="6"/>
  <c r="N175" i="6"/>
  <c r="N192" i="6"/>
  <c r="N209" i="6"/>
  <c r="N226" i="6"/>
  <c r="N243" i="6"/>
  <c r="N260" i="6"/>
  <c r="N277" i="6"/>
  <c r="N294" i="6"/>
  <c r="N311" i="6"/>
  <c r="N327" i="6"/>
  <c r="N343" i="6"/>
  <c r="N359" i="6"/>
  <c r="N375" i="6"/>
  <c r="N391" i="6"/>
  <c r="N407" i="6"/>
  <c r="N423" i="6"/>
  <c r="N27" i="6"/>
  <c r="N50" i="6"/>
  <c r="N70" i="6"/>
  <c r="N88" i="6"/>
  <c r="N106" i="6"/>
  <c r="N124" i="6"/>
  <c r="N141" i="6"/>
  <c r="N159" i="6"/>
  <c r="N176" i="6"/>
  <c r="N193" i="6"/>
  <c r="N210" i="6"/>
  <c r="N227" i="6"/>
  <c r="N244" i="6"/>
  <c r="N261" i="6"/>
  <c r="N278" i="6"/>
  <c r="N295" i="6"/>
  <c r="N312" i="6"/>
  <c r="N328" i="6"/>
  <c r="N344" i="6"/>
  <c r="N360" i="6"/>
  <c r="N376" i="6"/>
  <c r="N392" i="6"/>
  <c r="N408" i="6"/>
  <c r="N424" i="6"/>
  <c r="N28" i="6"/>
  <c r="N51" i="6"/>
  <c r="N71" i="6"/>
  <c r="N89" i="6"/>
  <c r="N107" i="6"/>
  <c r="N125" i="6"/>
  <c r="N143" i="6"/>
  <c r="N160" i="6"/>
  <c r="N177" i="6"/>
  <c r="N194" i="6"/>
  <c r="N211" i="6"/>
  <c r="N228" i="6"/>
  <c r="N245" i="6"/>
  <c r="N262" i="6"/>
  <c r="N279" i="6"/>
  <c r="N296" i="6"/>
  <c r="N313" i="6"/>
  <c r="N329" i="6"/>
  <c r="N345" i="6"/>
  <c r="N361" i="6"/>
  <c r="N377" i="6"/>
  <c r="N393" i="6"/>
  <c r="N409" i="6"/>
  <c r="N425" i="6"/>
  <c r="N13" i="6"/>
  <c r="N90" i="6"/>
  <c r="N145" i="6"/>
  <c r="N197" i="6"/>
  <c r="N249" i="6"/>
  <c r="N301" i="6"/>
  <c r="N362" i="6"/>
  <c r="N411" i="6"/>
  <c r="N29" i="6"/>
  <c r="N91" i="6"/>
  <c r="N146" i="6"/>
  <c r="N198" i="6"/>
  <c r="N250" i="6"/>
  <c r="N314" i="6"/>
  <c r="N363" i="6"/>
  <c r="N412" i="6"/>
  <c r="N32" i="6"/>
  <c r="N92" i="6"/>
  <c r="N147" i="6"/>
  <c r="N199" i="6"/>
  <c r="N263" i="6"/>
  <c r="N315" i="6"/>
  <c r="N364" i="6"/>
  <c r="N413" i="6"/>
  <c r="N34" i="6"/>
  <c r="N93" i="6"/>
  <c r="N148" i="6"/>
  <c r="N212" i="6"/>
  <c r="N264" i="6"/>
  <c r="N316" i="6"/>
  <c r="N365" i="6"/>
  <c r="N414" i="6"/>
  <c r="N35" i="6"/>
  <c r="N95" i="6"/>
  <c r="N161" i="6"/>
  <c r="N213" i="6"/>
  <c r="N265" i="6"/>
  <c r="N317" i="6"/>
  <c r="N366" i="6"/>
  <c r="N426" i="6"/>
  <c r="N37" i="6"/>
  <c r="N108" i="6"/>
  <c r="N162" i="6"/>
  <c r="N214" i="6"/>
  <c r="N266" i="6"/>
  <c r="N318" i="6"/>
  <c r="N378" i="6"/>
  <c r="N427" i="6"/>
  <c r="N53" i="6"/>
  <c r="N109" i="6"/>
  <c r="N163" i="6"/>
  <c r="N215" i="6"/>
  <c r="N267" i="6"/>
  <c r="N330" i="6"/>
  <c r="N379" i="6"/>
  <c r="N428" i="6"/>
  <c r="N54" i="6"/>
  <c r="N111" i="6"/>
  <c r="N164" i="6"/>
  <c r="N216" i="6"/>
  <c r="N280" i="6"/>
  <c r="N331" i="6"/>
  <c r="N380" i="6"/>
  <c r="N55" i="6"/>
  <c r="N112" i="6"/>
  <c r="N165" i="6"/>
  <c r="N229" i="6"/>
  <c r="N281" i="6"/>
  <c r="N332" i="6"/>
  <c r="N381" i="6"/>
  <c r="N56" i="6"/>
  <c r="N114" i="6"/>
  <c r="N178" i="6"/>
  <c r="N230" i="6"/>
  <c r="N282" i="6"/>
  <c r="N333" i="6"/>
  <c r="N382" i="6"/>
  <c r="N57" i="6"/>
  <c r="N127" i="6"/>
  <c r="N179" i="6"/>
  <c r="N231" i="6"/>
  <c r="N283" i="6"/>
  <c r="N334" i="6"/>
  <c r="N394" i="6"/>
  <c r="N72" i="6"/>
  <c r="N128" i="6"/>
  <c r="N180" i="6"/>
  <c r="N232" i="6"/>
  <c r="N284" i="6"/>
  <c r="N346" i="6"/>
  <c r="N395" i="6"/>
  <c r="N181" i="6"/>
  <c r="N396" i="6"/>
  <c r="N182" i="6"/>
  <c r="N397" i="6"/>
  <c r="N195" i="6"/>
  <c r="N398" i="6"/>
  <c r="N196" i="6"/>
  <c r="N410" i="6"/>
  <c r="N233" i="6"/>
  <c r="N246" i="6"/>
  <c r="N247" i="6"/>
  <c r="N248" i="6"/>
  <c r="N73" i="6"/>
  <c r="N297" i="6"/>
  <c r="N74" i="6"/>
  <c r="N298" i="6"/>
  <c r="N75" i="6"/>
  <c r="N299" i="6"/>
  <c r="N76" i="6"/>
  <c r="N300" i="6"/>
  <c r="H418" i="6"/>
  <c r="H372" i="6"/>
  <c r="H324" i="6"/>
  <c r="H260" i="6"/>
  <c r="H196" i="6"/>
  <c r="H132" i="6"/>
  <c r="H68" i="6"/>
  <c r="I400" i="6"/>
  <c r="I336" i="6"/>
  <c r="I272" i="6"/>
  <c r="I208" i="6"/>
  <c r="I144" i="6"/>
  <c r="I77" i="6"/>
  <c r="L267" i="6"/>
  <c r="N348" i="6"/>
  <c r="H262" i="6"/>
  <c r="I146" i="6"/>
  <c r="H133" i="6"/>
  <c r="I78" i="6"/>
  <c r="N349" i="6"/>
  <c r="I5" i="6"/>
  <c r="H259" i="6"/>
  <c r="I271" i="6"/>
  <c r="H406" i="6"/>
  <c r="I386" i="6"/>
  <c r="L187" i="6"/>
  <c r="G413" i="6"/>
  <c r="G397" i="6"/>
  <c r="G381" i="6"/>
  <c r="G365" i="6"/>
  <c r="G348" i="6"/>
  <c r="G330" i="6"/>
  <c r="G312" i="6"/>
  <c r="G293" i="6"/>
  <c r="G273" i="6"/>
  <c r="G249" i="6"/>
  <c r="G229" i="6"/>
  <c r="G209" i="6"/>
  <c r="G185" i="6"/>
  <c r="G165" i="6"/>
  <c r="G145" i="6"/>
  <c r="G121" i="6"/>
  <c r="G100" i="6"/>
  <c r="G72" i="6"/>
  <c r="G41" i="6"/>
  <c r="H405" i="6"/>
  <c r="H369" i="6"/>
  <c r="H309" i="6"/>
  <c r="H245" i="6"/>
  <c r="H181" i="6"/>
  <c r="H117" i="6"/>
  <c r="H53" i="6"/>
  <c r="I385" i="6"/>
  <c r="I321" i="6"/>
  <c r="I257" i="6"/>
  <c r="I193" i="6"/>
  <c r="I129" i="6"/>
  <c r="I59" i="6"/>
  <c r="J412" i="6"/>
  <c r="J306" i="6"/>
  <c r="J160" i="6"/>
  <c r="L185" i="6"/>
  <c r="M341" i="6"/>
  <c r="N131" i="6"/>
  <c r="H420" i="6"/>
  <c r="I338" i="6"/>
  <c r="H325" i="6"/>
  <c r="H69" i="6"/>
  <c r="I273" i="6"/>
  <c r="H323" i="6"/>
  <c r="I399" i="6"/>
  <c r="N347" i="6"/>
  <c r="H118" i="6"/>
  <c r="I194" i="6"/>
  <c r="N144" i="6"/>
  <c r="J9" i="6"/>
  <c r="G428" i="6"/>
  <c r="G412" i="6"/>
  <c r="G396" i="6"/>
  <c r="G380" i="6"/>
  <c r="G364" i="6"/>
  <c r="G346" i="6"/>
  <c r="G329" i="6"/>
  <c r="G311" i="6"/>
  <c r="G292" i="6"/>
  <c r="G272" i="6"/>
  <c r="G248" i="6"/>
  <c r="G228" i="6"/>
  <c r="G208" i="6"/>
  <c r="G184" i="6"/>
  <c r="G164" i="6"/>
  <c r="G144" i="6"/>
  <c r="G120" i="6"/>
  <c r="G99" i="6"/>
  <c r="G71" i="6"/>
  <c r="G40" i="6"/>
  <c r="H404" i="6"/>
  <c r="H358" i="6"/>
  <c r="H308" i="6"/>
  <c r="H244" i="6"/>
  <c r="H180" i="6"/>
  <c r="H116" i="6"/>
  <c r="H52" i="6"/>
  <c r="I384" i="6"/>
  <c r="I320" i="6"/>
  <c r="I256" i="6"/>
  <c r="I192" i="6"/>
  <c r="I128" i="6"/>
  <c r="I58" i="6"/>
  <c r="J411" i="6"/>
  <c r="J305" i="6"/>
  <c r="J159" i="6"/>
  <c r="L184" i="6"/>
  <c r="M338" i="6"/>
  <c r="N130" i="6"/>
  <c r="H374" i="6"/>
  <c r="I402" i="6"/>
  <c r="H261" i="6"/>
  <c r="I337" i="6"/>
  <c r="I4" i="6"/>
  <c r="H131" i="6"/>
  <c r="I207" i="6"/>
  <c r="H182" i="6"/>
  <c r="L10" i="6"/>
  <c r="M5" i="6"/>
  <c r="G427" i="6"/>
  <c r="G411" i="6"/>
  <c r="G395" i="6"/>
  <c r="G379" i="6"/>
  <c r="G362" i="6"/>
  <c r="G345" i="6"/>
  <c r="G328" i="6"/>
  <c r="G310" i="6"/>
  <c r="G291" i="6"/>
  <c r="G270" i="6"/>
  <c r="G247" i="6"/>
  <c r="G227" i="6"/>
  <c r="G206" i="6"/>
  <c r="G183" i="6"/>
  <c r="G163" i="6"/>
  <c r="G142" i="6"/>
  <c r="G119" i="6"/>
  <c r="G97" i="6"/>
  <c r="G70" i="6"/>
  <c r="G39" i="6"/>
  <c r="H403" i="6"/>
  <c r="H357" i="6"/>
  <c r="H307" i="6"/>
  <c r="H243" i="6"/>
  <c r="H179" i="6"/>
  <c r="H115" i="6"/>
  <c r="H51" i="6"/>
  <c r="I383" i="6"/>
  <c r="I319" i="6"/>
  <c r="I255" i="6"/>
  <c r="I191" i="6"/>
  <c r="I127" i="6"/>
  <c r="I56" i="6"/>
  <c r="J410" i="6"/>
  <c r="J304" i="6"/>
  <c r="J148" i="6"/>
  <c r="L182" i="6"/>
  <c r="M337" i="6"/>
  <c r="N129" i="6"/>
  <c r="H197" i="6"/>
  <c r="I401" i="6"/>
  <c r="H195" i="6"/>
  <c r="I335" i="6"/>
  <c r="G378" i="6"/>
  <c r="G344" i="6"/>
  <c r="G246" i="6"/>
  <c r="G202" i="6"/>
  <c r="G162" i="6"/>
  <c r="G94" i="6"/>
  <c r="G69" i="6"/>
  <c r="H402" i="6"/>
  <c r="H356" i="6"/>
  <c r="H294" i="6"/>
  <c r="H102" i="6"/>
  <c r="I370" i="6"/>
  <c r="I306" i="6"/>
  <c r="I242" i="6"/>
  <c r="I178" i="6"/>
  <c r="I114" i="6"/>
  <c r="I42" i="6"/>
  <c r="J387" i="6"/>
  <c r="J276" i="6"/>
  <c r="J115" i="6"/>
  <c r="L416" i="6"/>
  <c r="L101" i="6"/>
  <c r="O405" i="6"/>
  <c r="H134" i="6"/>
  <c r="H419" i="6"/>
  <c r="M6" i="6"/>
  <c r="M19" i="6"/>
  <c r="M35" i="6"/>
  <c r="M51" i="6"/>
  <c r="M67" i="6"/>
  <c r="M83" i="6"/>
  <c r="M99" i="6"/>
  <c r="M115" i="6"/>
  <c r="M131" i="6"/>
  <c r="M147" i="6"/>
  <c r="M163" i="6"/>
  <c r="M179" i="6"/>
  <c r="M195" i="6"/>
  <c r="M211" i="6"/>
  <c r="M227" i="6"/>
  <c r="M243" i="6"/>
  <c r="M259" i="6"/>
  <c r="M275" i="6"/>
  <c r="M291" i="6"/>
  <c r="M307" i="6"/>
  <c r="M323" i="6"/>
  <c r="M339" i="6"/>
  <c r="M355" i="6"/>
  <c r="M371" i="6"/>
  <c r="M387" i="6"/>
  <c r="M403" i="6"/>
  <c r="M419" i="6"/>
  <c r="M20" i="6"/>
  <c r="M36" i="6"/>
  <c r="M52" i="6"/>
  <c r="M68" i="6"/>
  <c r="M84" i="6"/>
  <c r="M100" i="6"/>
  <c r="M116" i="6"/>
  <c r="M132" i="6"/>
  <c r="M148" i="6"/>
  <c r="M164" i="6"/>
  <c r="M180" i="6"/>
  <c r="M196" i="6"/>
  <c r="M212" i="6"/>
  <c r="M228" i="6"/>
  <c r="M244" i="6"/>
  <c r="M260" i="6"/>
  <c r="M276" i="6"/>
  <c r="M292" i="6"/>
  <c r="M308" i="6"/>
  <c r="M324" i="6"/>
  <c r="M340" i="6"/>
  <c r="M356" i="6"/>
  <c r="M21" i="6"/>
  <c r="M37" i="6"/>
  <c r="M53" i="6"/>
  <c r="M69" i="6"/>
  <c r="M85" i="6"/>
  <c r="M101" i="6"/>
  <c r="M117" i="6"/>
  <c r="M133" i="6"/>
  <c r="M149" i="6"/>
  <c r="M165" i="6"/>
  <c r="M181" i="6"/>
  <c r="M197" i="6"/>
  <c r="M213" i="6"/>
  <c r="M229" i="6"/>
  <c r="M245" i="6"/>
  <c r="M261" i="6"/>
  <c r="M277" i="6"/>
  <c r="M293" i="6"/>
  <c r="M309" i="6"/>
  <c r="M325" i="6"/>
  <c r="M22" i="6"/>
  <c r="M38" i="6"/>
  <c r="M54" i="6"/>
  <c r="M70" i="6"/>
  <c r="M86" i="6"/>
  <c r="M102" i="6"/>
  <c r="M118" i="6"/>
  <c r="M134" i="6"/>
  <c r="M150" i="6"/>
  <c r="M166" i="6"/>
  <c r="M182" i="6"/>
  <c r="M198" i="6"/>
  <c r="M214" i="6"/>
  <c r="M230" i="6"/>
  <c r="M246" i="6"/>
  <c r="M262" i="6"/>
  <c r="M278" i="6"/>
  <c r="M294" i="6"/>
  <c r="M310" i="6"/>
  <c r="M326" i="6"/>
  <c r="M342" i="6"/>
  <c r="M358" i="6"/>
  <c r="M374" i="6"/>
  <c r="M390" i="6"/>
  <c r="M406" i="6"/>
  <c r="M422" i="6"/>
  <c r="M23" i="6"/>
  <c r="M39" i="6"/>
  <c r="M55" i="6"/>
  <c r="M71" i="6"/>
  <c r="M87" i="6"/>
  <c r="M103" i="6"/>
  <c r="M119" i="6"/>
  <c r="M135" i="6"/>
  <c r="M151" i="6"/>
  <c r="M167" i="6"/>
  <c r="M183" i="6"/>
  <c r="M199" i="6"/>
  <c r="M215" i="6"/>
  <c r="M231" i="6"/>
  <c r="M247" i="6"/>
  <c r="M24" i="6"/>
  <c r="M40" i="6"/>
  <c r="M56" i="6"/>
  <c r="M72" i="6"/>
  <c r="M88" i="6"/>
  <c r="M104" i="6"/>
  <c r="M120" i="6"/>
  <c r="M136" i="6"/>
  <c r="M152" i="6"/>
  <c r="M168" i="6"/>
  <c r="M184" i="6"/>
  <c r="M200" i="6"/>
  <c r="M216" i="6"/>
  <c r="M232" i="6"/>
  <c r="M248" i="6"/>
  <c r="M264" i="6"/>
  <c r="M280" i="6"/>
  <c r="M296" i="6"/>
  <c r="M312" i="6"/>
  <c r="M328" i="6"/>
  <c r="M344" i="6"/>
  <c r="M360" i="6"/>
  <c r="M376" i="6"/>
  <c r="M392" i="6"/>
  <c r="M408" i="6"/>
  <c r="M424" i="6"/>
  <c r="M25" i="6"/>
  <c r="M41" i="6"/>
  <c r="M57" i="6"/>
  <c r="M73" i="6"/>
  <c r="M89" i="6"/>
  <c r="M105" i="6"/>
  <c r="M121" i="6"/>
  <c r="M137" i="6"/>
  <c r="M153" i="6"/>
  <c r="M169" i="6"/>
  <c r="M185" i="6"/>
  <c r="M201" i="6"/>
  <c r="M217" i="6"/>
  <c r="M233" i="6"/>
  <c r="M249" i="6"/>
  <c r="M265" i="6"/>
  <c r="M281" i="6"/>
  <c r="M297" i="6"/>
  <c r="M313" i="6"/>
  <c r="M329" i="6"/>
  <c r="M345" i="6"/>
  <c r="M361" i="6"/>
  <c r="M26" i="6"/>
  <c r="M42" i="6"/>
  <c r="M58" i="6"/>
  <c r="M74" i="6"/>
  <c r="M90" i="6"/>
  <c r="M106" i="6"/>
  <c r="M122" i="6"/>
  <c r="M138" i="6"/>
  <c r="M154" i="6"/>
  <c r="M170" i="6"/>
  <c r="M186" i="6"/>
  <c r="M202" i="6"/>
  <c r="M218" i="6"/>
  <c r="M234" i="6"/>
  <c r="M250" i="6"/>
  <c r="M266" i="6"/>
  <c r="M282" i="6"/>
  <c r="M298" i="6"/>
  <c r="M314" i="6"/>
  <c r="M330" i="6"/>
  <c r="M346" i="6"/>
  <c r="M362" i="6"/>
  <c r="M378" i="6"/>
  <c r="M394" i="6"/>
  <c r="M410" i="6"/>
  <c r="M426" i="6"/>
  <c r="M27" i="6"/>
  <c r="M43" i="6"/>
  <c r="M59" i="6"/>
  <c r="M75" i="6"/>
  <c r="M91" i="6"/>
  <c r="M107" i="6"/>
  <c r="M123" i="6"/>
  <c r="M139" i="6"/>
  <c r="M155" i="6"/>
  <c r="M171" i="6"/>
  <c r="M187" i="6"/>
  <c r="M203" i="6"/>
  <c r="M219" i="6"/>
  <c r="M235" i="6"/>
  <c r="M251" i="6"/>
  <c r="M267" i="6"/>
  <c r="M283" i="6"/>
  <c r="M299" i="6"/>
  <c r="M315" i="6"/>
  <c r="M331" i="6"/>
  <c r="M347" i="6"/>
  <c r="M363" i="6"/>
  <c r="M379" i="6"/>
  <c r="M395" i="6"/>
  <c r="M411" i="6"/>
  <c r="M427" i="6"/>
  <c r="M13" i="6"/>
  <c r="M29" i="6"/>
  <c r="M45" i="6"/>
  <c r="M61" i="6"/>
  <c r="M77" i="6"/>
  <c r="M93" i="6"/>
  <c r="M109" i="6"/>
  <c r="M125" i="6"/>
  <c r="M141" i="6"/>
  <c r="M157" i="6"/>
  <c r="M173" i="6"/>
  <c r="M189" i="6"/>
  <c r="M205" i="6"/>
  <c r="M221" i="6"/>
  <c r="M237" i="6"/>
  <c r="M253" i="6"/>
  <c r="M269" i="6"/>
  <c r="M285" i="6"/>
  <c r="M301" i="6"/>
  <c r="M317" i="6"/>
  <c r="M28" i="6"/>
  <c r="M65" i="6"/>
  <c r="M111" i="6"/>
  <c r="M156" i="6"/>
  <c r="M193" i="6"/>
  <c r="M239" i="6"/>
  <c r="M274" i="6"/>
  <c r="M316" i="6"/>
  <c r="M348" i="6"/>
  <c r="M372" i="6"/>
  <c r="M397" i="6"/>
  <c r="M418" i="6"/>
  <c r="M30" i="6"/>
  <c r="M66" i="6"/>
  <c r="M112" i="6"/>
  <c r="M158" i="6"/>
  <c r="M194" i="6"/>
  <c r="M240" i="6"/>
  <c r="M279" i="6"/>
  <c r="M318" i="6"/>
  <c r="M349" i="6"/>
  <c r="M373" i="6"/>
  <c r="M398" i="6"/>
  <c r="M420" i="6"/>
  <c r="M31" i="6"/>
  <c r="M76" i="6"/>
  <c r="M113" i="6"/>
  <c r="M159" i="6"/>
  <c r="M204" i="6"/>
  <c r="M241" i="6"/>
  <c r="M284" i="6"/>
  <c r="M319" i="6"/>
  <c r="M350" i="6"/>
  <c r="M375" i="6"/>
  <c r="M399" i="6"/>
  <c r="M421" i="6"/>
  <c r="M32" i="6"/>
  <c r="M78" i="6"/>
  <c r="M114" i="6"/>
  <c r="M160" i="6"/>
  <c r="M206" i="6"/>
  <c r="M242" i="6"/>
  <c r="M286" i="6"/>
  <c r="M320" i="6"/>
  <c r="M351" i="6"/>
  <c r="M377" i="6"/>
  <c r="M400" i="6"/>
  <c r="M423" i="6"/>
  <c r="M33" i="6"/>
  <c r="M79" i="6"/>
  <c r="M124" i="6"/>
  <c r="M161" i="6"/>
  <c r="M207" i="6"/>
  <c r="M252" i="6"/>
  <c r="M287" i="6"/>
  <c r="M321" i="6"/>
  <c r="M352" i="6"/>
  <c r="M380" i="6"/>
  <c r="M401" i="6"/>
  <c r="M425" i="6"/>
  <c r="M34" i="6"/>
  <c r="M80" i="6"/>
  <c r="M126" i="6"/>
  <c r="M162" i="6"/>
  <c r="M208" i="6"/>
  <c r="M254" i="6"/>
  <c r="M288" i="6"/>
  <c r="M322" i="6"/>
  <c r="M353" i="6"/>
  <c r="M381" i="6"/>
  <c r="M402" i="6"/>
  <c r="M428" i="6"/>
  <c r="M44" i="6"/>
  <c r="M81" i="6"/>
  <c r="M127" i="6"/>
  <c r="M172" i="6"/>
  <c r="M209" i="6"/>
  <c r="M255" i="6"/>
  <c r="M289" i="6"/>
  <c r="M327" i="6"/>
  <c r="M354" i="6"/>
  <c r="M382" i="6"/>
  <c r="M404" i="6"/>
  <c r="M46" i="6"/>
  <c r="M82" i="6"/>
  <c r="M128" i="6"/>
  <c r="M174" i="6"/>
  <c r="M210" i="6"/>
  <c r="M256" i="6"/>
  <c r="M290" i="6"/>
  <c r="M332" i="6"/>
  <c r="M357" i="6"/>
  <c r="M383" i="6"/>
  <c r="M405" i="6"/>
  <c r="M47" i="6"/>
  <c r="M92" i="6"/>
  <c r="M129" i="6"/>
  <c r="M175" i="6"/>
  <c r="M220" i="6"/>
  <c r="M257" i="6"/>
  <c r="M295" i="6"/>
  <c r="M333" i="6"/>
  <c r="M359" i="6"/>
  <c r="M384" i="6"/>
  <c r="M407" i="6"/>
  <c r="M48" i="6"/>
  <c r="M94" i="6"/>
  <c r="M130" i="6"/>
  <c r="M176" i="6"/>
  <c r="M222" i="6"/>
  <c r="M258" i="6"/>
  <c r="M300" i="6"/>
  <c r="M334" i="6"/>
  <c r="M364" i="6"/>
  <c r="M385" i="6"/>
  <c r="M409" i="6"/>
  <c r="M49" i="6"/>
  <c r="M95" i="6"/>
  <c r="M140" i="6"/>
  <c r="M177" i="6"/>
  <c r="M223" i="6"/>
  <c r="M263" i="6"/>
  <c r="M302" i="6"/>
  <c r="M335" i="6"/>
  <c r="M365" i="6"/>
  <c r="M386" i="6"/>
  <c r="M412" i="6"/>
  <c r="M14" i="6"/>
  <c r="M50" i="6"/>
  <c r="M96" i="6"/>
  <c r="M142" i="6"/>
  <c r="M178" i="6"/>
  <c r="M224" i="6"/>
  <c r="M268" i="6"/>
  <c r="M303" i="6"/>
  <c r="M336" i="6"/>
  <c r="M366" i="6"/>
  <c r="M388" i="6"/>
  <c r="M413" i="6"/>
  <c r="M60" i="6"/>
  <c r="M225" i="6"/>
  <c r="M367" i="6"/>
  <c r="M62" i="6"/>
  <c r="M226" i="6"/>
  <c r="M368" i="6"/>
  <c r="M63" i="6"/>
  <c r="M236" i="6"/>
  <c r="M369" i="6"/>
  <c r="M64" i="6"/>
  <c r="M238" i="6"/>
  <c r="M370" i="6"/>
  <c r="M97" i="6"/>
  <c r="M270" i="6"/>
  <c r="M389" i="6"/>
  <c r="M98" i="6"/>
  <c r="M271" i="6"/>
  <c r="M391" i="6"/>
  <c r="M108" i="6"/>
  <c r="M272" i="6"/>
  <c r="M393" i="6"/>
  <c r="M110" i="6"/>
  <c r="M273" i="6"/>
  <c r="M396" i="6"/>
  <c r="M143" i="6"/>
  <c r="M304" i="6"/>
  <c r="M414" i="6"/>
  <c r="M144" i="6"/>
  <c r="M305" i="6"/>
  <c r="M415" i="6"/>
  <c r="M145" i="6"/>
  <c r="M306" i="6"/>
  <c r="M416" i="6"/>
  <c r="M146" i="6"/>
  <c r="M311" i="6"/>
  <c r="M417" i="6"/>
  <c r="H417" i="6"/>
  <c r="H67" i="6"/>
  <c r="I143" i="6"/>
  <c r="L265" i="6"/>
  <c r="H310" i="6"/>
  <c r="H54" i="6"/>
  <c r="I322" i="6"/>
  <c r="I130" i="6"/>
  <c r="G266" i="6"/>
  <c r="G118" i="6"/>
  <c r="H38" i="6"/>
  <c r="G425" i="6"/>
  <c r="G409" i="6"/>
  <c r="G393" i="6"/>
  <c r="G377" i="6"/>
  <c r="G360" i="6"/>
  <c r="G343" i="6"/>
  <c r="G326" i="6"/>
  <c r="G308" i="6"/>
  <c r="G289" i="6"/>
  <c r="G265" i="6"/>
  <c r="G245" i="6"/>
  <c r="G225" i="6"/>
  <c r="G201" i="6"/>
  <c r="G181" i="6"/>
  <c r="G161" i="6"/>
  <c r="G137" i="6"/>
  <c r="G117" i="6"/>
  <c r="G90" i="6"/>
  <c r="G68" i="6"/>
  <c r="G37" i="6"/>
  <c r="H401" i="6"/>
  <c r="H355" i="6"/>
  <c r="H293" i="6"/>
  <c r="H229" i="6"/>
  <c r="H165" i="6"/>
  <c r="H101" i="6"/>
  <c r="H37" i="6"/>
  <c r="I369" i="6"/>
  <c r="I305" i="6"/>
  <c r="I241" i="6"/>
  <c r="I177" i="6"/>
  <c r="I113" i="6"/>
  <c r="I40" i="6"/>
  <c r="J386" i="6"/>
  <c r="J275" i="6"/>
  <c r="J114" i="6"/>
  <c r="L415" i="6"/>
  <c r="M191" i="6"/>
  <c r="I79" i="6"/>
  <c r="O3" i="6"/>
  <c r="O26" i="6"/>
  <c r="O42" i="6"/>
  <c r="O58" i="6"/>
  <c r="O74" i="6"/>
  <c r="O90" i="6"/>
  <c r="O106" i="6"/>
  <c r="O122" i="6"/>
  <c r="O138" i="6"/>
  <c r="O154" i="6"/>
  <c r="O170" i="6"/>
  <c r="O186" i="6"/>
  <c r="O202" i="6"/>
  <c r="O218" i="6"/>
  <c r="O234" i="6"/>
  <c r="O250" i="6"/>
  <c r="O266" i="6"/>
  <c r="O282" i="6"/>
  <c r="O298" i="6"/>
  <c r="O314" i="6"/>
  <c r="O330" i="6"/>
  <c r="O346" i="6"/>
  <c r="O362" i="6"/>
  <c r="O378" i="6"/>
  <c r="O394" i="6"/>
  <c r="O410" i="6"/>
  <c r="O426" i="6"/>
  <c r="O27" i="6"/>
  <c r="O43" i="6"/>
  <c r="O59" i="6"/>
  <c r="O75" i="6"/>
  <c r="O91" i="6"/>
  <c r="O107" i="6"/>
  <c r="O123" i="6"/>
  <c r="O139" i="6"/>
  <c r="O155" i="6"/>
  <c r="O171" i="6"/>
  <c r="O187" i="6"/>
  <c r="O203" i="6"/>
  <c r="O219" i="6"/>
  <c r="O235" i="6"/>
  <c r="O251" i="6"/>
  <c r="O267" i="6"/>
  <c r="O283" i="6"/>
  <c r="O299" i="6"/>
  <c r="O315" i="6"/>
  <c r="O331" i="6"/>
  <c r="O347" i="6"/>
  <c r="O363" i="6"/>
  <c r="O379" i="6"/>
  <c r="O395" i="6"/>
  <c r="O411" i="6"/>
  <c r="O427" i="6"/>
  <c r="O28" i="6"/>
  <c r="O44" i="6"/>
  <c r="O60" i="6"/>
  <c r="O76" i="6"/>
  <c r="O92" i="6"/>
  <c r="O108" i="6"/>
  <c r="O124" i="6"/>
  <c r="O140" i="6"/>
  <c r="O156" i="6"/>
  <c r="O172" i="6"/>
  <c r="O188" i="6"/>
  <c r="O204" i="6"/>
  <c r="O220" i="6"/>
  <c r="O236" i="6"/>
  <c r="O252" i="6"/>
  <c r="O268" i="6"/>
  <c r="O284" i="6"/>
  <c r="O300" i="6"/>
  <c r="O316" i="6"/>
  <c r="O332" i="6"/>
  <c r="O348" i="6"/>
  <c r="O364" i="6"/>
  <c r="O380" i="6"/>
  <c r="O396" i="6"/>
  <c r="O412" i="6"/>
  <c r="O13" i="6"/>
  <c r="O29" i="6"/>
  <c r="O45" i="6"/>
  <c r="O61" i="6"/>
  <c r="O77" i="6"/>
  <c r="O93" i="6"/>
  <c r="O109" i="6"/>
  <c r="O125" i="6"/>
  <c r="O141" i="6"/>
  <c r="O157" i="6"/>
  <c r="O173" i="6"/>
  <c r="O189" i="6"/>
  <c r="O205" i="6"/>
  <c r="O221" i="6"/>
  <c r="O237" i="6"/>
  <c r="O253" i="6"/>
  <c r="O269" i="6"/>
  <c r="O285" i="6"/>
  <c r="O301" i="6"/>
  <c r="O317" i="6"/>
  <c r="O333" i="6"/>
  <c r="O349" i="6"/>
  <c r="O365" i="6"/>
  <c r="O381" i="6"/>
  <c r="O397" i="6"/>
  <c r="O413" i="6"/>
  <c r="O14" i="6"/>
  <c r="O30" i="6"/>
  <c r="O46" i="6"/>
  <c r="O62" i="6"/>
  <c r="O78" i="6"/>
  <c r="O94" i="6"/>
  <c r="O110" i="6"/>
  <c r="O126" i="6"/>
  <c r="O142" i="6"/>
  <c r="O158" i="6"/>
  <c r="O15" i="6"/>
  <c r="O31" i="6"/>
  <c r="O47" i="6"/>
  <c r="O63" i="6"/>
  <c r="O79" i="6"/>
  <c r="O95" i="6"/>
  <c r="O111" i="6"/>
  <c r="O127" i="6"/>
  <c r="O143" i="6"/>
  <c r="O159" i="6"/>
  <c r="O175" i="6"/>
  <c r="O191" i="6"/>
  <c r="O207" i="6"/>
  <c r="O223" i="6"/>
  <c r="O239" i="6"/>
  <c r="O16" i="6"/>
  <c r="O32" i="6"/>
  <c r="O48" i="6"/>
  <c r="O64" i="6"/>
  <c r="O80" i="6"/>
  <c r="O96" i="6"/>
  <c r="O112" i="6"/>
  <c r="O128" i="6"/>
  <c r="O144" i="6"/>
  <c r="O160" i="6"/>
  <c r="O176" i="6"/>
  <c r="O192" i="6"/>
  <c r="O208" i="6"/>
  <c r="O224" i="6"/>
  <c r="O240" i="6"/>
  <c r="O256" i="6"/>
  <c r="O272" i="6"/>
  <c r="O288" i="6"/>
  <c r="O304" i="6"/>
  <c r="O320" i="6"/>
  <c r="O336" i="6"/>
  <c r="O352" i="6"/>
  <c r="O368" i="6"/>
  <c r="O384" i="6"/>
  <c r="O400" i="6"/>
  <c r="O416" i="6"/>
  <c r="O17" i="6"/>
  <c r="O33" i="6"/>
  <c r="O49" i="6"/>
  <c r="O65" i="6"/>
  <c r="O81" i="6"/>
  <c r="O97" i="6"/>
  <c r="O113" i="6"/>
  <c r="O129" i="6"/>
  <c r="O145" i="6"/>
  <c r="O161" i="6"/>
  <c r="O177" i="6"/>
  <c r="O193" i="6"/>
  <c r="O209" i="6"/>
  <c r="O225" i="6"/>
  <c r="O241" i="6"/>
  <c r="O257" i="6"/>
  <c r="O273" i="6"/>
  <c r="O289" i="6"/>
  <c r="O305" i="6"/>
  <c r="O321" i="6"/>
  <c r="O19" i="6"/>
  <c r="O35" i="6"/>
  <c r="O51" i="6"/>
  <c r="O67" i="6"/>
  <c r="O83" i="6"/>
  <c r="O99" i="6"/>
  <c r="O115" i="6"/>
  <c r="O131" i="6"/>
  <c r="O147" i="6"/>
  <c r="O163" i="6"/>
  <c r="O179" i="6"/>
  <c r="O195" i="6"/>
  <c r="O211" i="6"/>
  <c r="O227" i="6"/>
  <c r="O243" i="6"/>
  <c r="O259" i="6"/>
  <c r="O275" i="6"/>
  <c r="O291" i="6"/>
  <c r="O307" i="6"/>
  <c r="O323" i="6"/>
  <c r="O339" i="6"/>
  <c r="O21" i="6"/>
  <c r="O37" i="6"/>
  <c r="O53" i="6"/>
  <c r="O69" i="6"/>
  <c r="O85" i="6"/>
  <c r="O101" i="6"/>
  <c r="O117" i="6"/>
  <c r="O133" i="6"/>
  <c r="O149" i="6"/>
  <c r="O165" i="6"/>
  <c r="O181" i="6"/>
  <c r="O197" i="6"/>
  <c r="O213" i="6"/>
  <c r="O229" i="6"/>
  <c r="O245" i="6"/>
  <c r="O261" i="6"/>
  <c r="O277" i="6"/>
  <c r="O293" i="6"/>
  <c r="O309" i="6"/>
  <c r="O325" i="6"/>
  <c r="O50" i="6"/>
  <c r="O88" i="6"/>
  <c r="O134" i="6"/>
  <c r="O174" i="6"/>
  <c r="O212" i="6"/>
  <c r="O247" i="6"/>
  <c r="O279" i="6"/>
  <c r="O311" i="6"/>
  <c r="O341" i="6"/>
  <c r="O366" i="6"/>
  <c r="O388" i="6"/>
  <c r="O409" i="6"/>
  <c r="O52" i="6"/>
  <c r="O89" i="6"/>
  <c r="O135" i="6"/>
  <c r="O178" i="6"/>
  <c r="O214" i="6"/>
  <c r="O248" i="6"/>
  <c r="O280" i="6"/>
  <c r="O312" i="6"/>
  <c r="O342" i="6"/>
  <c r="O367" i="6"/>
  <c r="O389" i="6"/>
  <c r="O414" i="6"/>
  <c r="O54" i="6"/>
  <c r="O98" i="6"/>
  <c r="O136" i="6"/>
  <c r="O180" i="6"/>
  <c r="O215" i="6"/>
  <c r="O249" i="6"/>
  <c r="O281" i="6"/>
  <c r="O313" i="6"/>
  <c r="O343" i="6"/>
  <c r="O369" i="6"/>
  <c r="O390" i="6"/>
  <c r="O415" i="6"/>
  <c r="O55" i="6"/>
  <c r="O100" i="6"/>
  <c r="O137" i="6"/>
  <c r="O182" i="6"/>
  <c r="O216" i="6"/>
  <c r="O254" i="6"/>
  <c r="O286" i="6"/>
  <c r="O318" i="6"/>
  <c r="O344" i="6"/>
  <c r="O370" i="6"/>
  <c r="O391" i="6"/>
  <c r="O417" i="6"/>
  <c r="O18" i="6"/>
  <c r="O56" i="6"/>
  <c r="O102" i="6"/>
  <c r="O146" i="6"/>
  <c r="O183" i="6"/>
  <c r="O217" i="6"/>
  <c r="O255" i="6"/>
  <c r="O287" i="6"/>
  <c r="O319" i="6"/>
  <c r="O345" i="6"/>
  <c r="O371" i="6"/>
  <c r="O392" i="6"/>
  <c r="O418" i="6"/>
  <c r="O20" i="6"/>
  <c r="O57" i="6"/>
  <c r="O103" i="6"/>
  <c r="O148" i="6"/>
  <c r="O184" i="6"/>
  <c r="O222" i="6"/>
  <c r="O258" i="6"/>
  <c r="O290" i="6"/>
  <c r="O322" i="6"/>
  <c r="O350" i="6"/>
  <c r="O372" i="6"/>
  <c r="O393" i="6"/>
  <c r="O419" i="6"/>
  <c r="O22" i="6"/>
  <c r="O66" i="6"/>
  <c r="O104" i="6"/>
  <c r="O150" i="6"/>
  <c r="O185" i="6"/>
  <c r="O226" i="6"/>
  <c r="O260" i="6"/>
  <c r="O292" i="6"/>
  <c r="O324" i="6"/>
  <c r="O351" i="6"/>
  <c r="O373" i="6"/>
  <c r="O398" i="6"/>
  <c r="O420" i="6"/>
  <c r="O23" i="6"/>
  <c r="O68" i="6"/>
  <c r="O105" i="6"/>
  <c r="O151" i="6"/>
  <c r="O190" i="6"/>
  <c r="O228" i="6"/>
  <c r="O262" i="6"/>
  <c r="O294" i="6"/>
  <c r="O326" i="6"/>
  <c r="O353" i="6"/>
  <c r="O374" i="6"/>
  <c r="O399" i="6"/>
  <c r="O421" i="6"/>
  <c r="O24" i="6"/>
  <c r="O70" i="6"/>
  <c r="O114" i="6"/>
  <c r="O152" i="6"/>
  <c r="O194" i="6"/>
  <c r="O230" i="6"/>
  <c r="O263" i="6"/>
  <c r="O295" i="6"/>
  <c r="O327" i="6"/>
  <c r="O354" i="6"/>
  <c r="O375" i="6"/>
  <c r="O401" i="6"/>
  <c r="O422" i="6"/>
  <c r="O25" i="6"/>
  <c r="O71" i="6"/>
  <c r="O116" i="6"/>
  <c r="O153" i="6"/>
  <c r="O196" i="6"/>
  <c r="O231" i="6"/>
  <c r="O264" i="6"/>
  <c r="O296" i="6"/>
  <c r="O328" i="6"/>
  <c r="O355" i="6"/>
  <c r="O376" i="6"/>
  <c r="O402" i="6"/>
  <c r="O423" i="6"/>
  <c r="O34" i="6"/>
  <c r="O72" i="6"/>
  <c r="O118" i="6"/>
  <c r="O162" i="6"/>
  <c r="O198" i="6"/>
  <c r="O232" i="6"/>
  <c r="O265" i="6"/>
  <c r="O297" i="6"/>
  <c r="O329" i="6"/>
  <c r="O356" i="6"/>
  <c r="O377" i="6"/>
  <c r="O403" i="6"/>
  <c r="O424" i="6"/>
  <c r="O87" i="6"/>
  <c r="O233" i="6"/>
  <c r="O335" i="6"/>
  <c r="O406" i="6"/>
  <c r="O119" i="6"/>
  <c r="O238" i="6"/>
  <c r="O337" i="6"/>
  <c r="O407" i="6"/>
  <c r="O120" i="6"/>
  <c r="O242" i="6"/>
  <c r="O338" i="6"/>
  <c r="O408" i="6"/>
  <c r="O121" i="6"/>
  <c r="O244" i="6"/>
  <c r="O340" i="6"/>
  <c r="O425" i="6"/>
  <c r="O130" i="6"/>
  <c r="O246" i="6"/>
  <c r="O357" i="6"/>
  <c r="O428" i="6"/>
  <c r="O132" i="6"/>
  <c r="O270" i="6"/>
  <c r="O358" i="6"/>
  <c r="O164" i="6"/>
  <c r="O271" i="6"/>
  <c r="O359" i="6"/>
  <c r="O36" i="6"/>
  <c r="O166" i="6"/>
  <c r="O274" i="6"/>
  <c r="O360" i="6"/>
  <c r="O38" i="6"/>
  <c r="O167" i="6"/>
  <c r="O276" i="6"/>
  <c r="O361" i="6"/>
  <c r="O39" i="6"/>
  <c r="O168" i="6"/>
  <c r="O278" i="6"/>
  <c r="O382" i="6"/>
  <c r="O40" i="6"/>
  <c r="O169" i="6"/>
  <c r="O302" i="6"/>
  <c r="O383" i="6"/>
  <c r="O41" i="6"/>
  <c r="O199" i="6"/>
  <c r="O303" i="6"/>
  <c r="O385" i="6"/>
  <c r="O73" i="6"/>
  <c r="O82" i="6"/>
  <c r="O84" i="6"/>
  <c r="O86" i="6"/>
  <c r="O200" i="6"/>
  <c r="O201" i="6"/>
  <c r="O206" i="6"/>
  <c r="O210" i="6"/>
  <c r="O306" i="6"/>
  <c r="O308" i="6"/>
  <c r="O310" i="6"/>
  <c r="O334" i="6"/>
  <c r="H373" i="6"/>
  <c r="I209" i="6"/>
  <c r="L12" i="6"/>
  <c r="L23" i="6"/>
  <c r="L39" i="6"/>
  <c r="L55" i="6"/>
  <c r="L71" i="6"/>
  <c r="L87" i="6"/>
  <c r="L103" i="6"/>
  <c r="L119" i="6"/>
  <c r="L135" i="6"/>
  <c r="U135" i="6" s="1"/>
  <c r="L151" i="6"/>
  <c r="L167" i="6"/>
  <c r="L183" i="6"/>
  <c r="L199" i="6"/>
  <c r="L215" i="6"/>
  <c r="L231" i="6"/>
  <c r="L247" i="6"/>
  <c r="L263" i="6"/>
  <c r="L279" i="6"/>
  <c r="L295" i="6"/>
  <c r="L311" i="6"/>
  <c r="L327" i="6"/>
  <c r="L343" i="6"/>
  <c r="L359" i="6"/>
  <c r="L26" i="6"/>
  <c r="L42" i="6"/>
  <c r="L58" i="6"/>
  <c r="L74" i="6"/>
  <c r="L90" i="6"/>
  <c r="L106" i="6"/>
  <c r="U106" i="6" s="1"/>
  <c r="L122" i="6"/>
  <c r="L138" i="6"/>
  <c r="L154" i="6"/>
  <c r="L170" i="6"/>
  <c r="L186" i="6"/>
  <c r="L202" i="6"/>
  <c r="L218" i="6"/>
  <c r="L234" i="6"/>
  <c r="L250" i="6"/>
  <c r="L266" i="6"/>
  <c r="L282" i="6"/>
  <c r="L298" i="6"/>
  <c r="L314" i="6"/>
  <c r="L330" i="6"/>
  <c r="L346" i="6"/>
  <c r="L362" i="6"/>
  <c r="U362" i="6" s="1"/>
  <c r="L28" i="6"/>
  <c r="L44" i="6"/>
  <c r="L60" i="6"/>
  <c r="L76" i="6"/>
  <c r="L92" i="6"/>
  <c r="L108" i="6"/>
  <c r="L124" i="6"/>
  <c r="U124" i="6" s="1"/>
  <c r="L140" i="6"/>
  <c r="L156" i="6"/>
  <c r="L172" i="6"/>
  <c r="L188" i="6"/>
  <c r="L204" i="6"/>
  <c r="L220" i="6"/>
  <c r="L236" i="6"/>
  <c r="L252" i="6"/>
  <c r="L268" i="6"/>
  <c r="L284" i="6"/>
  <c r="L300" i="6"/>
  <c r="L316" i="6"/>
  <c r="L332" i="6"/>
  <c r="L348" i="6"/>
  <c r="L364" i="6"/>
  <c r="L14" i="6"/>
  <c r="L30" i="6"/>
  <c r="L46" i="6"/>
  <c r="L62" i="6"/>
  <c r="U62" i="6" s="1"/>
  <c r="L78" i="6"/>
  <c r="L15" i="6"/>
  <c r="L31" i="6"/>
  <c r="L47" i="6"/>
  <c r="L63" i="6"/>
  <c r="L79" i="6"/>
  <c r="L95" i="6"/>
  <c r="L111" i="6"/>
  <c r="L127" i="6"/>
  <c r="L143" i="6"/>
  <c r="L159" i="6"/>
  <c r="U159" i="6" s="1"/>
  <c r="L175" i="6"/>
  <c r="L191" i="6"/>
  <c r="L207" i="6"/>
  <c r="U207" i="6" s="1"/>
  <c r="L223" i="6"/>
  <c r="L35" i="6"/>
  <c r="L57" i="6"/>
  <c r="L82" i="6"/>
  <c r="L102" i="6"/>
  <c r="L125" i="6"/>
  <c r="L146" i="6"/>
  <c r="L166" i="6"/>
  <c r="L189" i="6"/>
  <c r="L210" i="6"/>
  <c r="L230" i="6"/>
  <c r="L251" i="6"/>
  <c r="L271" i="6"/>
  <c r="U271" i="6" s="1"/>
  <c r="L290" i="6"/>
  <c r="L309" i="6"/>
  <c r="U309" i="6" s="1"/>
  <c r="L329" i="6"/>
  <c r="L350" i="6"/>
  <c r="L369" i="6"/>
  <c r="L385" i="6"/>
  <c r="L401" i="6"/>
  <c r="L417" i="6"/>
  <c r="U417" i="6" s="1"/>
  <c r="L13" i="6"/>
  <c r="U13" i="6" s="1"/>
  <c r="L36" i="6"/>
  <c r="L59" i="6"/>
  <c r="L83" i="6"/>
  <c r="L104" i="6"/>
  <c r="L126" i="6"/>
  <c r="L147" i="6"/>
  <c r="L168" i="6"/>
  <c r="L190" i="6"/>
  <c r="L211" i="6"/>
  <c r="U211" i="6" s="1"/>
  <c r="L232" i="6"/>
  <c r="L253" i="6"/>
  <c r="U253" i="6" s="1"/>
  <c r="L272" i="6"/>
  <c r="L291" i="6"/>
  <c r="L310" i="6"/>
  <c r="L331" i="6"/>
  <c r="L351" i="6"/>
  <c r="L370" i="6"/>
  <c r="L386" i="6"/>
  <c r="L402" i="6"/>
  <c r="L418" i="6"/>
  <c r="L16" i="6"/>
  <c r="L37" i="6"/>
  <c r="L61" i="6"/>
  <c r="U61" i="6" s="1"/>
  <c r="L84" i="6"/>
  <c r="L105" i="6"/>
  <c r="L128" i="6"/>
  <c r="L148" i="6"/>
  <c r="L169" i="6"/>
  <c r="L192" i="6"/>
  <c r="U192" i="6" s="1"/>
  <c r="L212" i="6"/>
  <c r="L233" i="6"/>
  <c r="L254" i="6"/>
  <c r="U254" i="6" s="1"/>
  <c r="L273" i="6"/>
  <c r="U273" i="6" s="1"/>
  <c r="L292" i="6"/>
  <c r="L312" i="6"/>
  <c r="L333" i="6"/>
  <c r="L352" i="6"/>
  <c r="L371" i="6"/>
  <c r="L387" i="6"/>
  <c r="L403" i="6"/>
  <c r="L419" i="6"/>
  <c r="L17" i="6"/>
  <c r="L38" i="6"/>
  <c r="L64" i="6"/>
  <c r="L85" i="6"/>
  <c r="L107" i="6"/>
  <c r="L129" i="6"/>
  <c r="L149" i="6"/>
  <c r="L171" i="6"/>
  <c r="L193" i="6"/>
  <c r="U193" i="6" s="1"/>
  <c r="L213" i="6"/>
  <c r="L235" i="6"/>
  <c r="L255" i="6"/>
  <c r="U255" i="6" s="1"/>
  <c r="L274" i="6"/>
  <c r="L293" i="6"/>
  <c r="L313" i="6"/>
  <c r="L334" i="6"/>
  <c r="L353" i="6"/>
  <c r="L372" i="6"/>
  <c r="L388" i="6"/>
  <c r="L404" i="6"/>
  <c r="U404" i="6" s="1"/>
  <c r="L420" i="6"/>
  <c r="L18" i="6"/>
  <c r="L40" i="6"/>
  <c r="L65" i="6"/>
  <c r="L86" i="6"/>
  <c r="L109" i="6"/>
  <c r="L130" i="6"/>
  <c r="L150" i="6"/>
  <c r="L173" i="6"/>
  <c r="L194" i="6"/>
  <c r="L214" i="6"/>
  <c r="L237" i="6"/>
  <c r="L256" i="6"/>
  <c r="L275" i="6"/>
  <c r="U275" i="6" s="1"/>
  <c r="L294" i="6"/>
  <c r="U294" i="6" s="1"/>
  <c r="L315" i="6"/>
  <c r="L335" i="6"/>
  <c r="L354" i="6"/>
  <c r="L373" i="6"/>
  <c r="L389" i="6"/>
  <c r="L405" i="6"/>
  <c r="L421" i="6"/>
  <c r="L19" i="6"/>
  <c r="L41" i="6"/>
  <c r="L66" i="6"/>
  <c r="L88" i="6"/>
  <c r="L110" i="6"/>
  <c r="L131" i="6"/>
  <c r="L152" i="6"/>
  <c r="L174" i="6"/>
  <c r="L195" i="6"/>
  <c r="L216" i="6"/>
  <c r="L238" i="6"/>
  <c r="L257" i="6"/>
  <c r="L276" i="6"/>
  <c r="L296" i="6"/>
  <c r="L317" i="6"/>
  <c r="U317" i="6" s="1"/>
  <c r="L336" i="6"/>
  <c r="L355" i="6"/>
  <c r="L374" i="6"/>
  <c r="L390" i="6"/>
  <c r="L406" i="6"/>
  <c r="U406" i="6" s="1"/>
  <c r="L422" i="6"/>
  <c r="L20" i="6"/>
  <c r="L43" i="6"/>
  <c r="U43" i="6" s="1"/>
  <c r="L67" i="6"/>
  <c r="L89" i="6"/>
  <c r="U89" i="6" s="1"/>
  <c r="L112" i="6"/>
  <c r="L132" i="6"/>
  <c r="U132" i="6" s="1"/>
  <c r="L153" i="6"/>
  <c r="L176" i="6"/>
  <c r="U176" i="6" s="1"/>
  <c r="L196" i="6"/>
  <c r="U196" i="6" s="1"/>
  <c r="L217" i="6"/>
  <c r="U217" i="6" s="1"/>
  <c r="L239" i="6"/>
  <c r="L258" i="6"/>
  <c r="U258" i="6" s="1"/>
  <c r="L277" i="6"/>
  <c r="L297" i="6"/>
  <c r="L318" i="6"/>
  <c r="L337" i="6"/>
  <c r="L356" i="6"/>
  <c r="L375" i="6"/>
  <c r="L391" i="6"/>
  <c r="U391" i="6" s="1"/>
  <c r="L407" i="6"/>
  <c r="L423" i="6"/>
  <c r="L21" i="6"/>
  <c r="L45" i="6"/>
  <c r="L68" i="6"/>
  <c r="U68" i="6" s="1"/>
  <c r="L91" i="6"/>
  <c r="L113" i="6"/>
  <c r="L133" i="6"/>
  <c r="U133" i="6" s="1"/>
  <c r="L155" i="6"/>
  <c r="L177" i="6"/>
  <c r="L197" i="6"/>
  <c r="L219" i="6"/>
  <c r="L240" i="6"/>
  <c r="L259" i="6"/>
  <c r="L278" i="6"/>
  <c r="L299" i="6"/>
  <c r="L319" i="6"/>
  <c r="L338" i="6"/>
  <c r="L357" i="6"/>
  <c r="L376" i="6"/>
  <c r="L392" i="6"/>
  <c r="L408" i="6"/>
  <c r="L424" i="6"/>
  <c r="L22" i="6"/>
  <c r="L48" i="6"/>
  <c r="L69" i="6"/>
  <c r="L93" i="6"/>
  <c r="L114" i="6"/>
  <c r="L134" i="6"/>
  <c r="L157" i="6"/>
  <c r="L178" i="6"/>
  <c r="L198" i="6"/>
  <c r="L221" i="6"/>
  <c r="L241" i="6"/>
  <c r="L260" i="6"/>
  <c r="L280" i="6"/>
  <c r="L301" i="6"/>
  <c r="U301" i="6" s="1"/>
  <c r="L320" i="6"/>
  <c r="L339" i="6"/>
  <c r="L358" i="6"/>
  <c r="L377" i="6"/>
  <c r="L393" i="6"/>
  <c r="L409" i="6"/>
  <c r="L425" i="6"/>
  <c r="L24" i="6"/>
  <c r="L49" i="6"/>
  <c r="L70" i="6"/>
  <c r="U70" i="6" s="1"/>
  <c r="L94" i="6"/>
  <c r="L115" i="6"/>
  <c r="U115" i="6" s="1"/>
  <c r="L136" i="6"/>
  <c r="L158" i="6"/>
  <c r="L179" i="6"/>
  <c r="L200" i="6"/>
  <c r="L222" i="6"/>
  <c r="U222" i="6" s="1"/>
  <c r="L242" i="6"/>
  <c r="L261" i="6"/>
  <c r="L281" i="6"/>
  <c r="U281" i="6" s="1"/>
  <c r="L302" i="6"/>
  <c r="L321" i="6"/>
  <c r="L340" i="6"/>
  <c r="L360" i="6"/>
  <c r="L378" i="6"/>
  <c r="L394" i="6"/>
  <c r="L410" i="6"/>
  <c r="L426" i="6"/>
  <c r="U426" i="6" s="1"/>
  <c r="L25" i="6"/>
  <c r="L50" i="6"/>
  <c r="L72" i="6"/>
  <c r="U72" i="6" s="1"/>
  <c r="L96" i="6"/>
  <c r="L116" i="6"/>
  <c r="U116" i="6" s="1"/>
  <c r="L137" i="6"/>
  <c r="L160" i="6"/>
  <c r="L180" i="6"/>
  <c r="L201" i="6"/>
  <c r="L224" i="6"/>
  <c r="L243" i="6"/>
  <c r="L262" i="6"/>
  <c r="L283" i="6"/>
  <c r="U283" i="6" s="1"/>
  <c r="L303" i="6"/>
  <c r="L322" i="6"/>
  <c r="L341" i="6"/>
  <c r="L361" i="6"/>
  <c r="L379" i="6"/>
  <c r="U379" i="6" s="1"/>
  <c r="L395" i="6"/>
  <c r="L411" i="6"/>
  <c r="L427" i="6"/>
  <c r="L27" i="6"/>
  <c r="L51" i="6"/>
  <c r="L73" i="6"/>
  <c r="L97" i="6"/>
  <c r="L117" i="6"/>
  <c r="U117" i="6" s="1"/>
  <c r="L139" i="6"/>
  <c r="L161" i="6"/>
  <c r="L181" i="6"/>
  <c r="L203" i="6"/>
  <c r="U203" i="6" s="1"/>
  <c r="L225" i="6"/>
  <c r="L244" i="6"/>
  <c r="L264" i="6"/>
  <c r="L285" i="6"/>
  <c r="U285" i="6" s="1"/>
  <c r="L304" i="6"/>
  <c r="L323" i="6"/>
  <c r="L342" i="6"/>
  <c r="U342" i="6" s="1"/>
  <c r="L363" i="6"/>
  <c r="L380" i="6"/>
  <c r="L396" i="6"/>
  <c r="L412" i="6"/>
  <c r="L428" i="6"/>
  <c r="U428" i="6" s="1"/>
  <c r="L29" i="6"/>
  <c r="L118" i="6"/>
  <c r="L205" i="6"/>
  <c r="L286" i="6"/>
  <c r="L365" i="6"/>
  <c r="L32" i="6"/>
  <c r="L120" i="6"/>
  <c r="U120" i="6" s="1"/>
  <c r="L206" i="6"/>
  <c r="U206" i="6" s="1"/>
  <c r="L287" i="6"/>
  <c r="L366" i="6"/>
  <c r="U366" i="6" s="1"/>
  <c r="L33" i="6"/>
  <c r="L121" i="6"/>
  <c r="L208" i="6"/>
  <c r="L288" i="6"/>
  <c r="L367" i="6"/>
  <c r="L34" i="6"/>
  <c r="U34" i="6" s="1"/>
  <c r="L123" i="6"/>
  <c r="L209" i="6"/>
  <c r="L289" i="6"/>
  <c r="L368" i="6"/>
  <c r="L52" i="6"/>
  <c r="U52" i="6" s="1"/>
  <c r="L141" i="6"/>
  <c r="L226" i="6"/>
  <c r="L305" i="6"/>
  <c r="U305" i="6" s="1"/>
  <c r="L381" i="6"/>
  <c r="L53" i="6"/>
  <c r="U53" i="6" s="1"/>
  <c r="L142" i="6"/>
  <c r="L227" i="6"/>
  <c r="L306" i="6"/>
  <c r="L382" i="6"/>
  <c r="L54" i="6"/>
  <c r="L144" i="6"/>
  <c r="L228" i="6"/>
  <c r="L307" i="6"/>
  <c r="U307" i="6" s="1"/>
  <c r="L383" i="6"/>
  <c r="U383" i="6" s="1"/>
  <c r="L56" i="6"/>
  <c r="L145" i="6"/>
  <c r="L229" i="6"/>
  <c r="L308" i="6"/>
  <c r="L384" i="6"/>
  <c r="L75" i="6"/>
  <c r="L162" i="6"/>
  <c r="L245" i="6"/>
  <c r="L324" i="6"/>
  <c r="L397" i="6"/>
  <c r="L77" i="6"/>
  <c r="L163" i="6"/>
  <c r="L246" i="6"/>
  <c r="L325" i="6"/>
  <c r="L398" i="6"/>
  <c r="L80" i="6"/>
  <c r="L164" i="6"/>
  <c r="L248" i="6"/>
  <c r="L326" i="6"/>
  <c r="L399" i="6"/>
  <c r="L81" i="6"/>
  <c r="L165" i="6"/>
  <c r="L249" i="6"/>
  <c r="L328" i="6"/>
  <c r="U328" i="6" s="1"/>
  <c r="L400" i="6"/>
  <c r="H246" i="6"/>
  <c r="I258" i="6"/>
  <c r="I61" i="6"/>
  <c r="M343" i="6"/>
  <c r="M4" i="6"/>
  <c r="G6" i="6"/>
  <c r="G424" i="6"/>
  <c r="G408" i="6"/>
  <c r="G392" i="6"/>
  <c r="G376" i="6"/>
  <c r="G359" i="6"/>
  <c r="G342" i="6"/>
  <c r="G325" i="6"/>
  <c r="G307" i="6"/>
  <c r="G288" i="6"/>
  <c r="G264" i="6"/>
  <c r="G244" i="6"/>
  <c r="G224" i="6"/>
  <c r="G200" i="6"/>
  <c r="G180" i="6"/>
  <c r="G160" i="6"/>
  <c r="G136" i="6"/>
  <c r="G116" i="6"/>
  <c r="G89" i="6"/>
  <c r="G67" i="6"/>
  <c r="G30" i="6"/>
  <c r="H390" i="6"/>
  <c r="H354" i="6"/>
  <c r="H292" i="6"/>
  <c r="H228" i="6"/>
  <c r="H164" i="6"/>
  <c r="H100" i="6"/>
  <c r="H36" i="6"/>
  <c r="I368" i="6"/>
  <c r="I304" i="6"/>
  <c r="I240" i="6"/>
  <c r="I176" i="6"/>
  <c r="I112" i="6"/>
  <c r="I39" i="6"/>
  <c r="J385" i="6"/>
  <c r="J274" i="6"/>
  <c r="L414" i="6"/>
  <c r="L99" i="6"/>
  <c r="M190" i="6"/>
  <c r="O387" i="6"/>
  <c r="G309" i="6"/>
  <c r="G182" i="6"/>
  <c r="H166" i="6"/>
  <c r="J8" i="6"/>
  <c r="J21" i="6"/>
  <c r="J37" i="6"/>
  <c r="J53" i="6"/>
  <c r="J69" i="6"/>
  <c r="J85" i="6"/>
  <c r="J101" i="6"/>
  <c r="J117" i="6"/>
  <c r="J133" i="6"/>
  <c r="J149" i="6"/>
  <c r="J165" i="6"/>
  <c r="J181" i="6"/>
  <c r="J197" i="6"/>
  <c r="J213" i="6"/>
  <c r="J229" i="6"/>
  <c r="J245" i="6"/>
  <c r="J261" i="6"/>
  <c r="J277" i="6"/>
  <c r="J293" i="6"/>
  <c r="J309" i="6"/>
  <c r="J325" i="6"/>
  <c r="J341" i="6"/>
  <c r="J357" i="6"/>
  <c r="J373" i="6"/>
  <c r="J389" i="6"/>
  <c r="J405" i="6"/>
  <c r="J421" i="6"/>
  <c r="J22" i="6"/>
  <c r="J38" i="6"/>
  <c r="J54" i="6"/>
  <c r="J70" i="6"/>
  <c r="J86" i="6"/>
  <c r="J102" i="6"/>
  <c r="J118" i="6"/>
  <c r="J134" i="6"/>
  <c r="J150" i="6"/>
  <c r="J166" i="6"/>
  <c r="J182" i="6"/>
  <c r="J198" i="6"/>
  <c r="J214" i="6"/>
  <c r="J230" i="6"/>
  <c r="J246" i="6"/>
  <c r="J262" i="6"/>
  <c r="J278" i="6"/>
  <c r="J294" i="6"/>
  <c r="J310" i="6"/>
  <c r="J326" i="6"/>
  <c r="J342" i="6"/>
  <c r="J358" i="6"/>
  <c r="J374" i="6"/>
  <c r="J390" i="6"/>
  <c r="J406" i="6"/>
  <c r="J422" i="6"/>
  <c r="J23" i="6"/>
  <c r="J39" i="6"/>
  <c r="J55" i="6"/>
  <c r="J71" i="6"/>
  <c r="J87" i="6"/>
  <c r="J103" i="6"/>
  <c r="J119" i="6"/>
  <c r="J135" i="6"/>
  <c r="J151" i="6"/>
  <c r="J167" i="6"/>
  <c r="J183" i="6"/>
  <c r="J199" i="6"/>
  <c r="J215" i="6"/>
  <c r="J231" i="6"/>
  <c r="J247" i="6"/>
  <c r="J263" i="6"/>
  <c r="J279" i="6"/>
  <c r="J295" i="6"/>
  <c r="J311" i="6"/>
  <c r="J327" i="6"/>
  <c r="J343" i="6"/>
  <c r="J359" i="6"/>
  <c r="J375" i="6"/>
  <c r="J391" i="6"/>
  <c r="J407" i="6"/>
  <c r="J423" i="6"/>
  <c r="J24" i="6"/>
  <c r="J40" i="6"/>
  <c r="J56" i="6"/>
  <c r="J72" i="6"/>
  <c r="J88" i="6"/>
  <c r="J104" i="6"/>
  <c r="J120" i="6"/>
  <c r="J136" i="6"/>
  <c r="J152" i="6"/>
  <c r="J168" i="6"/>
  <c r="J184" i="6"/>
  <c r="J200" i="6"/>
  <c r="J216" i="6"/>
  <c r="J232" i="6"/>
  <c r="J248" i="6"/>
  <c r="J264" i="6"/>
  <c r="J280" i="6"/>
  <c r="J296" i="6"/>
  <c r="J312" i="6"/>
  <c r="J328" i="6"/>
  <c r="J344" i="6"/>
  <c r="J360" i="6"/>
  <c r="J376" i="6"/>
  <c r="J392" i="6"/>
  <c r="J408" i="6"/>
  <c r="J424" i="6"/>
  <c r="J25" i="6"/>
  <c r="J41" i="6"/>
  <c r="J57" i="6"/>
  <c r="J73" i="6"/>
  <c r="J89" i="6"/>
  <c r="J105" i="6"/>
  <c r="J121" i="6"/>
  <c r="J137" i="6"/>
  <c r="J153" i="6"/>
  <c r="J169" i="6"/>
  <c r="J185" i="6"/>
  <c r="J201" i="6"/>
  <c r="J217" i="6"/>
  <c r="J233" i="6"/>
  <c r="J249" i="6"/>
  <c r="J265" i="6"/>
  <c r="J281" i="6"/>
  <c r="J297" i="6"/>
  <c r="J313" i="6"/>
  <c r="J329" i="6"/>
  <c r="J345" i="6"/>
  <c r="J361" i="6"/>
  <c r="J377" i="6"/>
  <c r="J393" i="6"/>
  <c r="J409" i="6"/>
  <c r="J425" i="6"/>
  <c r="J26" i="6"/>
  <c r="J42" i="6"/>
  <c r="J58" i="6"/>
  <c r="J74" i="6"/>
  <c r="J90" i="6"/>
  <c r="J106" i="6"/>
  <c r="J122" i="6"/>
  <c r="J138" i="6"/>
  <c r="J154" i="6"/>
  <c r="J170" i="6"/>
  <c r="J186" i="6"/>
  <c r="J202" i="6"/>
  <c r="J218" i="6"/>
  <c r="J234" i="6"/>
  <c r="J250" i="6"/>
  <c r="J266" i="6"/>
  <c r="J282" i="6"/>
  <c r="J298" i="6"/>
  <c r="J314" i="6"/>
  <c r="J330" i="6"/>
  <c r="J346" i="6"/>
  <c r="J362" i="6"/>
  <c r="J27" i="6"/>
  <c r="J43" i="6"/>
  <c r="J59" i="6"/>
  <c r="J75" i="6"/>
  <c r="J91" i="6"/>
  <c r="J107" i="6"/>
  <c r="J123" i="6"/>
  <c r="J139" i="6"/>
  <c r="J155" i="6"/>
  <c r="J171" i="6"/>
  <c r="J187" i="6"/>
  <c r="J203" i="6"/>
  <c r="J219" i="6"/>
  <c r="J28" i="6"/>
  <c r="J44" i="6"/>
  <c r="J60" i="6"/>
  <c r="J76" i="6"/>
  <c r="J92" i="6"/>
  <c r="J108" i="6"/>
  <c r="J124" i="6"/>
  <c r="J140" i="6"/>
  <c r="J156" i="6"/>
  <c r="J172" i="6"/>
  <c r="J188" i="6"/>
  <c r="J204" i="6"/>
  <c r="J220" i="6"/>
  <c r="J236" i="6"/>
  <c r="J252" i="6"/>
  <c r="J268" i="6"/>
  <c r="J284" i="6"/>
  <c r="J300" i="6"/>
  <c r="J316" i="6"/>
  <c r="J332" i="6"/>
  <c r="J348" i="6"/>
  <c r="J13" i="6"/>
  <c r="J29" i="6"/>
  <c r="J45" i="6"/>
  <c r="J61" i="6"/>
  <c r="J77" i="6"/>
  <c r="J93" i="6"/>
  <c r="J109" i="6"/>
  <c r="J125" i="6"/>
  <c r="J141" i="6"/>
  <c r="J157" i="6"/>
  <c r="J173" i="6"/>
  <c r="J189" i="6"/>
  <c r="J205" i="6"/>
  <c r="J221" i="6"/>
  <c r="J237" i="6"/>
  <c r="J253" i="6"/>
  <c r="J269" i="6"/>
  <c r="J14" i="6"/>
  <c r="J30" i="6"/>
  <c r="J46" i="6"/>
  <c r="J62" i="6"/>
  <c r="J78" i="6"/>
  <c r="J94" i="6"/>
  <c r="J110" i="6"/>
  <c r="J126" i="6"/>
  <c r="J142" i="6"/>
  <c r="J158" i="6"/>
  <c r="J174" i="6"/>
  <c r="J190" i="6"/>
  <c r="J206" i="6"/>
  <c r="J222" i="6"/>
  <c r="J238" i="6"/>
  <c r="J254" i="6"/>
  <c r="J270" i="6"/>
  <c r="J286" i="6"/>
  <c r="J16" i="6"/>
  <c r="J32" i="6"/>
  <c r="J48" i="6"/>
  <c r="J64" i="6"/>
  <c r="J80" i="6"/>
  <c r="J96" i="6"/>
  <c r="J19" i="6"/>
  <c r="J68" i="6"/>
  <c r="J116" i="6"/>
  <c r="J162" i="6"/>
  <c r="J208" i="6"/>
  <c r="J243" i="6"/>
  <c r="J283" i="6"/>
  <c r="J308" i="6"/>
  <c r="J338" i="6"/>
  <c r="J367" i="6"/>
  <c r="J388" i="6"/>
  <c r="J414" i="6"/>
  <c r="J20" i="6"/>
  <c r="J79" i="6"/>
  <c r="J127" i="6"/>
  <c r="J163" i="6"/>
  <c r="J209" i="6"/>
  <c r="J244" i="6"/>
  <c r="J285" i="6"/>
  <c r="J315" i="6"/>
  <c r="J339" i="6"/>
  <c r="J368" i="6"/>
  <c r="J394" i="6"/>
  <c r="J415" i="6"/>
  <c r="J31" i="6"/>
  <c r="J81" i="6"/>
  <c r="J128" i="6"/>
  <c r="J164" i="6"/>
  <c r="J210" i="6"/>
  <c r="J251" i="6"/>
  <c r="J287" i="6"/>
  <c r="J317" i="6"/>
  <c r="J340" i="6"/>
  <c r="J369" i="6"/>
  <c r="J395" i="6"/>
  <c r="J416" i="6"/>
  <c r="J33" i="6"/>
  <c r="J82" i="6"/>
  <c r="J129" i="6"/>
  <c r="J175" i="6"/>
  <c r="J211" i="6"/>
  <c r="J255" i="6"/>
  <c r="J288" i="6"/>
  <c r="J318" i="6"/>
  <c r="J347" i="6"/>
  <c r="J370" i="6"/>
  <c r="J396" i="6"/>
  <c r="J417" i="6"/>
  <c r="J34" i="6"/>
  <c r="J83" i="6"/>
  <c r="J130" i="6"/>
  <c r="J176" i="6"/>
  <c r="J212" i="6"/>
  <c r="J256" i="6"/>
  <c r="J289" i="6"/>
  <c r="J319" i="6"/>
  <c r="J349" i="6"/>
  <c r="J371" i="6"/>
  <c r="J397" i="6"/>
  <c r="J418" i="6"/>
  <c r="J35" i="6"/>
  <c r="J84" i="6"/>
  <c r="J131" i="6"/>
  <c r="J177" i="6"/>
  <c r="J223" i="6"/>
  <c r="J257" i="6"/>
  <c r="J290" i="6"/>
  <c r="J320" i="6"/>
  <c r="J350" i="6"/>
  <c r="J372" i="6"/>
  <c r="J398" i="6"/>
  <c r="J419" i="6"/>
  <c r="J36" i="6"/>
  <c r="J95" i="6"/>
  <c r="J132" i="6"/>
  <c r="J178" i="6"/>
  <c r="J224" i="6"/>
  <c r="J258" i="6"/>
  <c r="J291" i="6"/>
  <c r="J321" i="6"/>
  <c r="J351" i="6"/>
  <c r="J378" i="6"/>
  <c r="J399" i="6"/>
  <c r="J420" i="6"/>
  <c r="J47" i="6"/>
  <c r="J97" i="6"/>
  <c r="J143" i="6"/>
  <c r="J179" i="6"/>
  <c r="J225" i="6"/>
  <c r="J259" i="6"/>
  <c r="J292" i="6"/>
  <c r="J322" i="6"/>
  <c r="J352" i="6"/>
  <c r="J379" i="6"/>
  <c r="J400" i="6"/>
  <c r="J426" i="6"/>
  <c r="J49" i="6"/>
  <c r="J98" i="6"/>
  <c r="J144" i="6"/>
  <c r="J180" i="6"/>
  <c r="J226" i="6"/>
  <c r="J260" i="6"/>
  <c r="J299" i="6"/>
  <c r="J323" i="6"/>
  <c r="J353" i="6"/>
  <c r="J380" i="6"/>
  <c r="J401" i="6"/>
  <c r="J427" i="6"/>
  <c r="J50" i="6"/>
  <c r="J99" i="6"/>
  <c r="J145" i="6"/>
  <c r="J191" i="6"/>
  <c r="J227" i="6"/>
  <c r="J267" i="6"/>
  <c r="J301" i="6"/>
  <c r="J324" i="6"/>
  <c r="J354" i="6"/>
  <c r="J381" i="6"/>
  <c r="J402" i="6"/>
  <c r="J428" i="6"/>
  <c r="J51" i="6"/>
  <c r="J100" i="6"/>
  <c r="J146" i="6"/>
  <c r="J192" i="6"/>
  <c r="J228" i="6"/>
  <c r="J271" i="6"/>
  <c r="J302" i="6"/>
  <c r="J331" i="6"/>
  <c r="J355" i="6"/>
  <c r="J382" i="6"/>
  <c r="J403" i="6"/>
  <c r="J52" i="6"/>
  <c r="J111" i="6"/>
  <c r="J147" i="6"/>
  <c r="J193" i="6"/>
  <c r="J235" i="6"/>
  <c r="J272" i="6"/>
  <c r="J303" i="6"/>
  <c r="J333" i="6"/>
  <c r="J356" i="6"/>
  <c r="J383" i="6"/>
  <c r="J404" i="6"/>
  <c r="G5" i="6"/>
  <c r="G423" i="6"/>
  <c r="G407" i="6"/>
  <c r="G391" i="6"/>
  <c r="G375" i="6"/>
  <c r="G358" i="6"/>
  <c r="G341" i="6"/>
  <c r="G324" i="6"/>
  <c r="G306" i="6"/>
  <c r="G286" i="6"/>
  <c r="G263" i="6"/>
  <c r="G243" i="6"/>
  <c r="G222" i="6"/>
  <c r="G199" i="6"/>
  <c r="G179" i="6"/>
  <c r="G158" i="6"/>
  <c r="G135" i="6"/>
  <c r="G115" i="6"/>
  <c r="G88" i="6"/>
  <c r="G62" i="6"/>
  <c r="G26" i="6"/>
  <c r="H389" i="6"/>
  <c r="H353" i="6"/>
  <c r="H291" i="6"/>
  <c r="H227" i="6"/>
  <c r="H163" i="6"/>
  <c r="H99" i="6"/>
  <c r="H35" i="6"/>
  <c r="I367" i="6"/>
  <c r="I303" i="6"/>
  <c r="I239" i="6"/>
  <c r="I175" i="6"/>
  <c r="I111" i="6"/>
  <c r="J384" i="6"/>
  <c r="J273" i="6"/>
  <c r="J112" i="6"/>
  <c r="L413" i="6"/>
  <c r="L98" i="6"/>
  <c r="M188" i="6"/>
  <c r="O386" i="6"/>
  <c r="I10" i="6"/>
  <c r="I25" i="6"/>
  <c r="I41" i="6"/>
  <c r="I57" i="6"/>
  <c r="I73" i="6"/>
  <c r="I89" i="6"/>
  <c r="I105" i="6"/>
  <c r="I28" i="6"/>
  <c r="I44" i="6"/>
  <c r="I60" i="6"/>
  <c r="I76" i="6"/>
  <c r="I92" i="6"/>
  <c r="I24" i="6"/>
  <c r="I43" i="6"/>
  <c r="I62" i="6"/>
  <c r="I80" i="6"/>
  <c r="I98" i="6"/>
  <c r="I115" i="6"/>
  <c r="I131" i="6"/>
  <c r="I147" i="6"/>
  <c r="I163" i="6"/>
  <c r="I179" i="6"/>
  <c r="I195" i="6"/>
  <c r="I211" i="6"/>
  <c r="I227" i="6"/>
  <c r="I243" i="6"/>
  <c r="I259" i="6"/>
  <c r="I275" i="6"/>
  <c r="I291" i="6"/>
  <c r="I307" i="6"/>
  <c r="I323" i="6"/>
  <c r="I339" i="6"/>
  <c r="I355" i="6"/>
  <c r="I371" i="6"/>
  <c r="I387" i="6"/>
  <c r="I403" i="6"/>
  <c r="I419" i="6"/>
  <c r="I26" i="6"/>
  <c r="I45" i="6"/>
  <c r="I63" i="6"/>
  <c r="I81" i="6"/>
  <c r="I99" i="6"/>
  <c r="I116" i="6"/>
  <c r="I132" i="6"/>
  <c r="I148" i="6"/>
  <c r="I164" i="6"/>
  <c r="I180" i="6"/>
  <c r="I196" i="6"/>
  <c r="I212" i="6"/>
  <c r="I228" i="6"/>
  <c r="I244" i="6"/>
  <c r="I260" i="6"/>
  <c r="I276" i="6"/>
  <c r="I292" i="6"/>
  <c r="I308" i="6"/>
  <c r="I324" i="6"/>
  <c r="I340" i="6"/>
  <c r="I356" i="6"/>
  <c r="I372" i="6"/>
  <c r="I388" i="6"/>
  <c r="I404" i="6"/>
  <c r="I420" i="6"/>
  <c r="I27" i="6"/>
  <c r="I46" i="6"/>
  <c r="I64" i="6"/>
  <c r="I82" i="6"/>
  <c r="I100" i="6"/>
  <c r="I117" i="6"/>
  <c r="I133" i="6"/>
  <c r="I149" i="6"/>
  <c r="I165" i="6"/>
  <c r="I181" i="6"/>
  <c r="I197" i="6"/>
  <c r="I213" i="6"/>
  <c r="I229" i="6"/>
  <c r="I245" i="6"/>
  <c r="I261" i="6"/>
  <c r="I277" i="6"/>
  <c r="I293" i="6"/>
  <c r="I309" i="6"/>
  <c r="I325" i="6"/>
  <c r="I341" i="6"/>
  <c r="I357" i="6"/>
  <c r="I373" i="6"/>
  <c r="I389" i="6"/>
  <c r="I405" i="6"/>
  <c r="I421" i="6"/>
  <c r="I29" i="6"/>
  <c r="I47" i="6"/>
  <c r="I65" i="6"/>
  <c r="I83" i="6"/>
  <c r="I101" i="6"/>
  <c r="I118" i="6"/>
  <c r="I134" i="6"/>
  <c r="I150" i="6"/>
  <c r="I166" i="6"/>
  <c r="I182" i="6"/>
  <c r="I198" i="6"/>
  <c r="I214" i="6"/>
  <c r="I230" i="6"/>
  <c r="I246" i="6"/>
  <c r="I262" i="6"/>
  <c r="I278" i="6"/>
  <c r="I294" i="6"/>
  <c r="I310" i="6"/>
  <c r="I326" i="6"/>
  <c r="I342" i="6"/>
  <c r="I358" i="6"/>
  <c r="I374" i="6"/>
  <c r="I390" i="6"/>
  <c r="I406" i="6"/>
  <c r="I422" i="6"/>
  <c r="I30" i="6"/>
  <c r="I48" i="6"/>
  <c r="I66" i="6"/>
  <c r="I84" i="6"/>
  <c r="I102" i="6"/>
  <c r="I119" i="6"/>
  <c r="I135" i="6"/>
  <c r="I151" i="6"/>
  <c r="I167" i="6"/>
  <c r="I183" i="6"/>
  <c r="I199" i="6"/>
  <c r="I215" i="6"/>
  <c r="I231" i="6"/>
  <c r="I247" i="6"/>
  <c r="I263" i="6"/>
  <c r="I279" i="6"/>
  <c r="I295" i="6"/>
  <c r="I311" i="6"/>
  <c r="I327" i="6"/>
  <c r="I343" i="6"/>
  <c r="I359" i="6"/>
  <c r="I375" i="6"/>
  <c r="I391" i="6"/>
  <c r="I407" i="6"/>
  <c r="I423" i="6"/>
  <c r="I13" i="6"/>
  <c r="I31" i="6"/>
  <c r="I49" i="6"/>
  <c r="I67" i="6"/>
  <c r="I85" i="6"/>
  <c r="I103" i="6"/>
  <c r="I120" i="6"/>
  <c r="I136" i="6"/>
  <c r="I152" i="6"/>
  <c r="I168" i="6"/>
  <c r="I184" i="6"/>
  <c r="I200" i="6"/>
  <c r="I216" i="6"/>
  <c r="I232" i="6"/>
  <c r="I248" i="6"/>
  <c r="I264" i="6"/>
  <c r="I280" i="6"/>
  <c r="I296" i="6"/>
  <c r="I312" i="6"/>
  <c r="I328" i="6"/>
  <c r="I344" i="6"/>
  <c r="I360" i="6"/>
  <c r="I376" i="6"/>
  <c r="I392" i="6"/>
  <c r="I408" i="6"/>
  <c r="I424" i="6"/>
  <c r="I14" i="6"/>
  <c r="I32" i="6"/>
  <c r="I50" i="6"/>
  <c r="I68" i="6"/>
  <c r="I86" i="6"/>
  <c r="I104" i="6"/>
  <c r="I121" i="6"/>
  <c r="I137" i="6"/>
  <c r="I153" i="6"/>
  <c r="I169" i="6"/>
  <c r="I185" i="6"/>
  <c r="I201" i="6"/>
  <c r="I217" i="6"/>
  <c r="I233" i="6"/>
  <c r="I249" i="6"/>
  <c r="I265" i="6"/>
  <c r="I281" i="6"/>
  <c r="I297" i="6"/>
  <c r="I313" i="6"/>
  <c r="I329" i="6"/>
  <c r="I345" i="6"/>
  <c r="I361" i="6"/>
  <c r="I377" i="6"/>
  <c r="I393" i="6"/>
  <c r="I409" i="6"/>
  <c r="I425" i="6"/>
  <c r="I15" i="6"/>
  <c r="I33" i="6"/>
  <c r="I51" i="6"/>
  <c r="I69" i="6"/>
  <c r="I87" i="6"/>
  <c r="I106" i="6"/>
  <c r="I122" i="6"/>
  <c r="I138" i="6"/>
  <c r="I154" i="6"/>
  <c r="I170" i="6"/>
  <c r="I186" i="6"/>
  <c r="I202" i="6"/>
  <c r="I218" i="6"/>
  <c r="I234" i="6"/>
  <c r="I250" i="6"/>
  <c r="I266" i="6"/>
  <c r="I282" i="6"/>
  <c r="I298" i="6"/>
  <c r="I314" i="6"/>
  <c r="I330" i="6"/>
  <c r="I346" i="6"/>
  <c r="I362" i="6"/>
  <c r="I378" i="6"/>
  <c r="I394" i="6"/>
  <c r="I410" i="6"/>
  <c r="I426" i="6"/>
  <c r="I16" i="6"/>
  <c r="I34" i="6"/>
  <c r="I52" i="6"/>
  <c r="I70" i="6"/>
  <c r="I88" i="6"/>
  <c r="I107" i="6"/>
  <c r="I123" i="6"/>
  <c r="I139" i="6"/>
  <c r="I155" i="6"/>
  <c r="I171" i="6"/>
  <c r="I187" i="6"/>
  <c r="I203" i="6"/>
  <c r="I219" i="6"/>
  <c r="I235" i="6"/>
  <c r="I251" i="6"/>
  <c r="I267" i="6"/>
  <c r="I283" i="6"/>
  <c r="I299" i="6"/>
  <c r="I315" i="6"/>
  <c r="I331" i="6"/>
  <c r="I347" i="6"/>
  <c r="I363" i="6"/>
  <c r="I379" i="6"/>
  <c r="I395" i="6"/>
  <c r="I411" i="6"/>
  <c r="I427" i="6"/>
  <c r="I17" i="6"/>
  <c r="I35" i="6"/>
  <c r="I53" i="6"/>
  <c r="I71" i="6"/>
  <c r="I90" i="6"/>
  <c r="I108" i="6"/>
  <c r="I124" i="6"/>
  <c r="I140" i="6"/>
  <c r="I156" i="6"/>
  <c r="I172" i="6"/>
  <c r="I188" i="6"/>
  <c r="I204" i="6"/>
  <c r="I220" i="6"/>
  <c r="I236" i="6"/>
  <c r="I252" i="6"/>
  <c r="I268" i="6"/>
  <c r="I284" i="6"/>
  <c r="I300" i="6"/>
  <c r="I316" i="6"/>
  <c r="I332" i="6"/>
  <c r="I348" i="6"/>
  <c r="I364" i="6"/>
  <c r="I380" i="6"/>
  <c r="I396" i="6"/>
  <c r="I412" i="6"/>
  <c r="I428" i="6"/>
  <c r="I18" i="6"/>
  <c r="I36" i="6"/>
  <c r="I54" i="6"/>
  <c r="I72" i="6"/>
  <c r="I91" i="6"/>
  <c r="I109" i="6"/>
  <c r="I125" i="6"/>
  <c r="I141" i="6"/>
  <c r="I157" i="6"/>
  <c r="I173" i="6"/>
  <c r="I189" i="6"/>
  <c r="I205" i="6"/>
  <c r="I221" i="6"/>
  <c r="I237" i="6"/>
  <c r="I253" i="6"/>
  <c r="I269" i="6"/>
  <c r="I285" i="6"/>
  <c r="I301" i="6"/>
  <c r="I317" i="6"/>
  <c r="I333" i="6"/>
  <c r="I349" i="6"/>
  <c r="I365" i="6"/>
  <c r="I381" i="6"/>
  <c r="I397" i="6"/>
  <c r="I413" i="6"/>
  <c r="I19" i="6"/>
  <c r="I37" i="6"/>
  <c r="I55" i="6"/>
  <c r="I74" i="6"/>
  <c r="I93" i="6"/>
  <c r="I110" i="6"/>
  <c r="I126" i="6"/>
  <c r="I142" i="6"/>
  <c r="I158" i="6"/>
  <c r="I174" i="6"/>
  <c r="I190" i="6"/>
  <c r="I206" i="6"/>
  <c r="I222" i="6"/>
  <c r="I238" i="6"/>
  <c r="I254" i="6"/>
  <c r="I270" i="6"/>
  <c r="I286" i="6"/>
  <c r="I302" i="6"/>
  <c r="I318" i="6"/>
  <c r="I334" i="6"/>
  <c r="I350" i="6"/>
  <c r="I366" i="6"/>
  <c r="I382" i="6"/>
  <c r="I398" i="6"/>
  <c r="I414" i="6"/>
  <c r="G8" i="6"/>
  <c r="G422" i="6"/>
  <c r="G406" i="6"/>
  <c r="G390" i="6"/>
  <c r="G374" i="6"/>
  <c r="G357" i="6"/>
  <c r="G340" i="6"/>
  <c r="G323" i="6"/>
  <c r="G305" i="6"/>
  <c r="G282" i="6"/>
  <c r="G262" i="6"/>
  <c r="G242" i="6"/>
  <c r="G218" i="6"/>
  <c r="G198" i="6"/>
  <c r="G178" i="6"/>
  <c r="G154" i="6"/>
  <c r="G134" i="6"/>
  <c r="G114" i="6"/>
  <c r="G87" i="6"/>
  <c r="G58" i="6"/>
  <c r="G25" i="6"/>
  <c r="H388" i="6"/>
  <c r="H342" i="6"/>
  <c r="H278" i="6"/>
  <c r="H214" i="6"/>
  <c r="H150" i="6"/>
  <c r="H86" i="6"/>
  <c r="I418" i="6"/>
  <c r="I354" i="6"/>
  <c r="I290" i="6"/>
  <c r="I226" i="6"/>
  <c r="I162" i="6"/>
  <c r="I97" i="6"/>
  <c r="I23" i="6"/>
  <c r="J366" i="6"/>
  <c r="J242" i="6"/>
  <c r="J67" i="6"/>
  <c r="L349" i="6"/>
  <c r="M18" i="6"/>
  <c r="H4" i="6"/>
  <c r="H23" i="6"/>
  <c r="H39" i="6"/>
  <c r="H55" i="6"/>
  <c r="H71" i="6"/>
  <c r="H87" i="6"/>
  <c r="H103" i="6"/>
  <c r="H119" i="6"/>
  <c r="H135" i="6"/>
  <c r="H151" i="6"/>
  <c r="H167" i="6"/>
  <c r="H183" i="6"/>
  <c r="H199" i="6"/>
  <c r="H215" i="6"/>
  <c r="H231" i="6"/>
  <c r="H247" i="6"/>
  <c r="H263" i="6"/>
  <c r="H279" i="6"/>
  <c r="H295" i="6"/>
  <c r="H311" i="6"/>
  <c r="H327" i="6"/>
  <c r="H343" i="6"/>
  <c r="H359" i="6"/>
  <c r="H375" i="6"/>
  <c r="H391" i="6"/>
  <c r="H407" i="6"/>
  <c r="H423" i="6"/>
  <c r="H24" i="6"/>
  <c r="H40" i="6"/>
  <c r="H56" i="6"/>
  <c r="H72" i="6"/>
  <c r="H88" i="6"/>
  <c r="H104" i="6"/>
  <c r="H120" i="6"/>
  <c r="H136" i="6"/>
  <c r="H152" i="6"/>
  <c r="H168" i="6"/>
  <c r="H184" i="6"/>
  <c r="H200" i="6"/>
  <c r="H216" i="6"/>
  <c r="H232" i="6"/>
  <c r="H248" i="6"/>
  <c r="H264" i="6"/>
  <c r="H280" i="6"/>
  <c r="H296" i="6"/>
  <c r="H312" i="6"/>
  <c r="H328" i="6"/>
  <c r="H344" i="6"/>
  <c r="H360" i="6"/>
  <c r="H376" i="6"/>
  <c r="H392" i="6"/>
  <c r="H408" i="6"/>
  <c r="H424" i="6"/>
  <c r="H25" i="6"/>
  <c r="H41" i="6"/>
  <c r="H57" i="6"/>
  <c r="H73" i="6"/>
  <c r="H89" i="6"/>
  <c r="H105" i="6"/>
  <c r="H121" i="6"/>
  <c r="H137" i="6"/>
  <c r="H153" i="6"/>
  <c r="H169" i="6"/>
  <c r="H185" i="6"/>
  <c r="H201" i="6"/>
  <c r="H217" i="6"/>
  <c r="H233" i="6"/>
  <c r="H249" i="6"/>
  <c r="H265" i="6"/>
  <c r="H281" i="6"/>
  <c r="H297" i="6"/>
  <c r="H313" i="6"/>
  <c r="H329" i="6"/>
  <c r="H345" i="6"/>
  <c r="H361" i="6"/>
  <c r="H377" i="6"/>
  <c r="H393" i="6"/>
  <c r="H409" i="6"/>
  <c r="H425" i="6"/>
  <c r="H26" i="6"/>
  <c r="H42" i="6"/>
  <c r="H58" i="6"/>
  <c r="H74" i="6"/>
  <c r="H90" i="6"/>
  <c r="H106" i="6"/>
  <c r="H122" i="6"/>
  <c r="H138" i="6"/>
  <c r="H154" i="6"/>
  <c r="H170" i="6"/>
  <c r="H186" i="6"/>
  <c r="H202" i="6"/>
  <c r="H218" i="6"/>
  <c r="H234" i="6"/>
  <c r="H250" i="6"/>
  <c r="H266" i="6"/>
  <c r="H282" i="6"/>
  <c r="H298" i="6"/>
  <c r="H314" i="6"/>
  <c r="H330" i="6"/>
  <c r="H346" i="6"/>
  <c r="H362" i="6"/>
  <c r="H378" i="6"/>
  <c r="H394" i="6"/>
  <c r="H410" i="6"/>
  <c r="H426" i="6"/>
  <c r="H27" i="6"/>
  <c r="H43" i="6"/>
  <c r="H59" i="6"/>
  <c r="H75" i="6"/>
  <c r="H91" i="6"/>
  <c r="H107" i="6"/>
  <c r="H123" i="6"/>
  <c r="H139" i="6"/>
  <c r="H155" i="6"/>
  <c r="H171" i="6"/>
  <c r="H187" i="6"/>
  <c r="H203" i="6"/>
  <c r="H219" i="6"/>
  <c r="H235" i="6"/>
  <c r="H251" i="6"/>
  <c r="H267" i="6"/>
  <c r="H283" i="6"/>
  <c r="H299" i="6"/>
  <c r="H315" i="6"/>
  <c r="H331" i="6"/>
  <c r="H347" i="6"/>
  <c r="H363" i="6"/>
  <c r="H379" i="6"/>
  <c r="H395" i="6"/>
  <c r="H411" i="6"/>
  <c r="H427" i="6"/>
  <c r="H28" i="6"/>
  <c r="H44" i="6"/>
  <c r="H60" i="6"/>
  <c r="H76" i="6"/>
  <c r="H92" i="6"/>
  <c r="H108" i="6"/>
  <c r="H124" i="6"/>
  <c r="H140" i="6"/>
  <c r="H156" i="6"/>
  <c r="H172" i="6"/>
  <c r="H188" i="6"/>
  <c r="H204" i="6"/>
  <c r="H220" i="6"/>
  <c r="H236" i="6"/>
  <c r="H252" i="6"/>
  <c r="H268" i="6"/>
  <c r="H284" i="6"/>
  <c r="H300" i="6"/>
  <c r="H316" i="6"/>
  <c r="H332" i="6"/>
  <c r="H348" i="6"/>
  <c r="H364" i="6"/>
  <c r="H380" i="6"/>
  <c r="H396" i="6"/>
  <c r="H412" i="6"/>
  <c r="H428" i="6"/>
  <c r="H13" i="6"/>
  <c r="H29" i="6"/>
  <c r="H45" i="6"/>
  <c r="H61" i="6"/>
  <c r="H77" i="6"/>
  <c r="H93" i="6"/>
  <c r="H109" i="6"/>
  <c r="H125" i="6"/>
  <c r="H141" i="6"/>
  <c r="H157" i="6"/>
  <c r="H173" i="6"/>
  <c r="H189" i="6"/>
  <c r="H205" i="6"/>
  <c r="H221" i="6"/>
  <c r="H237" i="6"/>
  <c r="H253" i="6"/>
  <c r="H269" i="6"/>
  <c r="H285" i="6"/>
  <c r="H301" i="6"/>
  <c r="H317" i="6"/>
  <c r="H333" i="6"/>
  <c r="H349" i="6"/>
  <c r="H365" i="6"/>
  <c r="H381" i="6"/>
  <c r="H397" i="6"/>
  <c r="H413" i="6"/>
  <c r="H14" i="6"/>
  <c r="H30" i="6"/>
  <c r="H46" i="6"/>
  <c r="H62" i="6"/>
  <c r="H78" i="6"/>
  <c r="H94" i="6"/>
  <c r="H110" i="6"/>
  <c r="H126" i="6"/>
  <c r="H142" i="6"/>
  <c r="H158" i="6"/>
  <c r="H174" i="6"/>
  <c r="H190" i="6"/>
  <c r="H206" i="6"/>
  <c r="H222" i="6"/>
  <c r="H238" i="6"/>
  <c r="H254" i="6"/>
  <c r="H270" i="6"/>
  <c r="H286" i="6"/>
  <c r="H302" i="6"/>
  <c r="H318" i="6"/>
  <c r="H334" i="6"/>
  <c r="H350" i="6"/>
  <c r="H366" i="6"/>
  <c r="H382" i="6"/>
  <c r="H398" i="6"/>
  <c r="H414" i="6"/>
  <c r="H15" i="6"/>
  <c r="H31" i="6"/>
  <c r="H47" i="6"/>
  <c r="H63" i="6"/>
  <c r="H79" i="6"/>
  <c r="H95" i="6"/>
  <c r="H111" i="6"/>
  <c r="H127" i="6"/>
  <c r="H143" i="6"/>
  <c r="H159" i="6"/>
  <c r="H175" i="6"/>
  <c r="H191" i="6"/>
  <c r="H207" i="6"/>
  <c r="H223" i="6"/>
  <c r="H239" i="6"/>
  <c r="H255" i="6"/>
  <c r="H271" i="6"/>
  <c r="H287" i="6"/>
  <c r="H303" i="6"/>
  <c r="H319" i="6"/>
  <c r="H335" i="6"/>
  <c r="H351" i="6"/>
  <c r="H367" i="6"/>
  <c r="H383" i="6"/>
  <c r="H399" i="6"/>
  <c r="H415" i="6"/>
  <c r="H16" i="6"/>
  <c r="H32" i="6"/>
  <c r="H48" i="6"/>
  <c r="H64" i="6"/>
  <c r="H80" i="6"/>
  <c r="H96" i="6"/>
  <c r="H112" i="6"/>
  <c r="H128" i="6"/>
  <c r="H144" i="6"/>
  <c r="H160" i="6"/>
  <c r="H176" i="6"/>
  <c r="H192" i="6"/>
  <c r="H208" i="6"/>
  <c r="H224" i="6"/>
  <c r="H240" i="6"/>
  <c r="H256" i="6"/>
  <c r="H272" i="6"/>
  <c r="H288" i="6"/>
  <c r="H304" i="6"/>
  <c r="H320" i="6"/>
  <c r="H336" i="6"/>
  <c r="H352" i="6"/>
  <c r="H368" i="6"/>
  <c r="H384" i="6"/>
  <c r="H400" i="6"/>
  <c r="H416" i="6"/>
  <c r="H17" i="6"/>
  <c r="H33" i="6"/>
  <c r="H49" i="6"/>
  <c r="H65" i="6"/>
  <c r="H81" i="6"/>
  <c r="H97" i="6"/>
  <c r="H113" i="6"/>
  <c r="H129" i="6"/>
  <c r="H145" i="6"/>
  <c r="H161" i="6"/>
  <c r="H177" i="6"/>
  <c r="H193" i="6"/>
  <c r="H209" i="6"/>
  <c r="H225" i="6"/>
  <c r="H241" i="6"/>
  <c r="H257" i="6"/>
  <c r="H273" i="6"/>
  <c r="H289" i="6"/>
  <c r="H305" i="6"/>
  <c r="H321" i="6"/>
  <c r="H337" i="6"/>
  <c r="H18" i="6"/>
  <c r="H34" i="6"/>
  <c r="H50" i="6"/>
  <c r="H66" i="6"/>
  <c r="H82" i="6"/>
  <c r="H98" i="6"/>
  <c r="H114" i="6"/>
  <c r="H130" i="6"/>
  <c r="H146" i="6"/>
  <c r="H162" i="6"/>
  <c r="H178" i="6"/>
  <c r="H194" i="6"/>
  <c r="H210" i="6"/>
  <c r="H226" i="6"/>
  <c r="H242" i="6"/>
  <c r="H258" i="6"/>
  <c r="H274" i="6"/>
  <c r="H290" i="6"/>
  <c r="H306" i="6"/>
  <c r="H322" i="6"/>
  <c r="H338" i="6"/>
  <c r="G12" i="6"/>
  <c r="G421" i="6"/>
  <c r="G405" i="6"/>
  <c r="G389" i="6"/>
  <c r="G373" i="6"/>
  <c r="G356" i="6"/>
  <c r="G339" i="6"/>
  <c r="G322" i="6"/>
  <c r="G304" i="6"/>
  <c r="G281" i="6"/>
  <c r="G261" i="6"/>
  <c r="G241" i="6"/>
  <c r="G217" i="6"/>
  <c r="T217" i="6" s="1"/>
  <c r="G197" i="6"/>
  <c r="G177" i="6"/>
  <c r="G153" i="6"/>
  <c r="G133" i="6"/>
  <c r="G113" i="6"/>
  <c r="G86" i="6"/>
  <c r="T86" i="6" s="1"/>
  <c r="G57" i="6"/>
  <c r="G24" i="6"/>
  <c r="H387" i="6"/>
  <c r="H341" i="6"/>
  <c r="H277" i="6"/>
  <c r="H213" i="6"/>
  <c r="H149" i="6"/>
  <c r="H85" i="6"/>
  <c r="H21" i="6"/>
  <c r="I417" i="6"/>
  <c r="I353" i="6"/>
  <c r="I289" i="6"/>
  <c r="I225" i="6"/>
  <c r="I161" i="6"/>
  <c r="I96" i="6"/>
  <c r="I22" i="6"/>
  <c r="J365" i="6"/>
  <c r="J241" i="6"/>
  <c r="J66" i="6"/>
  <c r="L347" i="6"/>
  <c r="M17" i="6"/>
  <c r="G361" i="6"/>
  <c r="G327" i="6"/>
  <c r="G226" i="6"/>
  <c r="G138" i="6"/>
  <c r="H230" i="6"/>
  <c r="I9" i="6"/>
  <c r="G420" i="6"/>
  <c r="G404" i="6"/>
  <c r="G388" i="6"/>
  <c r="G372" i="6"/>
  <c r="G355" i="6"/>
  <c r="G338" i="6"/>
  <c r="G321" i="6"/>
  <c r="G303" i="6"/>
  <c r="G280" i="6"/>
  <c r="G260" i="6"/>
  <c r="G240" i="6"/>
  <c r="G216" i="6"/>
  <c r="G196" i="6"/>
  <c r="G176" i="6"/>
  <c r="G152" i="6"/>
  <c r="G132" i="6"/>
  <c r="G110" i="6"/>
  <c r="G85" i="6"/>
  <c r="G56" i="6"/>
  <c r="H422" i="6"/>
  <c r="H386" i="6"/>
  <c r="H340" i="6"/>
  <c r="H276" i="6"/>
  <c r="H212" i="6"/>
  <c r="H148" i="6"/>
  <c r="H84" i="6"/>
  <c r="H20" i="6"/>
  <c r="I416" i="6"/>
  <c r="I352" i="6"/>
  <c r="I288" i="6"/>
  <c r="I224" i="6"/>
  <c r="I160" i="6"/>
  <c r="I95" i="6"/>
  <c r="I21" i="6"/>
  <c r="J364" i="6"/>
  <c r="J240" i="6"/>
  <c r="J65" i="6"/>
  <c r="L345" i="6"/>
  <c r="M16" i="6"/>
  <c r="I7" i="6"/>
  <c r="H198" i="6"/>
  <c r="I274" i="6"/>
  <c r="I145" i="6"/>
  <c r="H371" i="6"/>
  <c r="I75" i="6"/>
  <c r="H370" i="6"/>
  <c r="G290" i="6"/>
  <c r="G7" i="6"/>
  <c r="G27" i="6"/>
  <c r="G43" i="6"/>
  <c r="G59" i="6"/>
  <c r="G75" i="6"/>
  <c r="G91" i="6"/>
  <c r="G107" i="6"/>
  <c r="G123" i="6"/>
  <c r="G139" i="6"/>
  <c r="G155" i="6"/>
  <c r="G171" i="6"/>
  <c r="G187" i="6"/>
  <c r="G203" i="6"/>
  <c r="G219" i="6"/>
  <c r="G235" i="6"/>
  <c r="G251" i="6"/>
  <c r="G267" i="6"/>
  <c r="G283" i="6"/>
  <c r="G299" i="6"/>
  <c r="G315" i="6"/>
  <c r="G331" i="6"/>
  <c r="G347" i="6"/>
  <c r="G363" i="6"/>
  <c r="G28" i="6"/>
  <c r="G44" i="6"/>
  <c r="G60" i="6"/>
  <c r="G76" i="6"/>
  <c r="G92" i="6"/>
  <c r="T92" i="6" s="1"/>
  <c r="G108" i="6"/>
  <c r="G124" i="6"/>
  <c r="G140" i="6"/>
  <c r="G156" i="6"/>
  <c r="G172" i="6"/>
  <c r="T172" i="6" s="1"/>
  <c r="G188" i="6"/>
  <c r="G204" i="6"/>
  <c r="G220" i="6"/>
  <c r="G236" i="6"/>
  <c r="G252" i="6"/>
  <c r="G268" i="6"/>
  <c r="T268" i="6" s="1"/>
  <c r="G284" i="6"/>
  <c r="G300" i="6"/>
  <c r="G316" i="6"/>
  <c r="G13" i="6"/>
  <c r="G29" i="6"/>
  <c r="G45" i="6"/>
  <c r="G61" i="6"/>
  <c r="G77" i="6"/>
  <c r="T77" i="6" s="1"/>
  <c r="G93" i="6"/>
  <c r="G109" i="6"/>
  <c r="T109" i="6" s="1"/>
  <c r="G125" i="6"/>
  <c r="G141" i="6"/>
  <c r="G157" i="6"/>
  <c r="T157" i="6" s="1"/>
  <c r="G173" i="6"/>
  <c r="T173" i="6" s="1"/>
  <c r="G189" i="6"/>
  <c r="G205" i="6"/>
  <c r="G221" i="6"/>
  <c r="G237" i="6"/>
  <c r="G253" i="6"/>
  <c r="T253" i="6" s="1"/>
  <c r="G269" i="6"/>
  <c r="G285" i="6"/>
  <c r="G301" i="6"/>
  <c r="G15" i="6"/>
  <c r="G31" i="6"/>
  <c r="G47" i="6"/>
  <c r="G63" i="6"/>
  <c r="G79" i="6"/>
  <c r="G95" i="6"/>
  <c r="G111" i="6"/>
  <c r="G127" i="6"/>
  <c r="G143" i="6"/>
  <c r="G159" i="6"/>
  <c r="G175" i="6"/>
  <c r="G191" i="6"/>
  <c r="G207" i="6"/>
  <c r="G223" i="6"/>
  <c r="G239" i="6"/>
  <c r="G255" i="6"/>
  <c r="G271" i="6"/>
  <c r="G287" i="6"/>
  <c r="G16" i="6"/>
  <c r="G32" i="6"/>
  <c r="G48" i="6"/>
  <c r="T48" i="6" s="1"/>
  <c r="G64" i="6"/>
  <c r="T64" i="6" s="1"/>
  <c r="G80" i="6"/>
  <c r="G96" i="6"/>
  <c r="G112" i="6"/>
  <c r="G17" i="6"/>
  <c r="G33" i="6"/>
  <c r="G49" i="6"/>
  <c r="G65" i="6"/>
  <c r="G18" i="6"/>
  <c r="G34" i="6"/>
  <c r="G50" i="6"/>
  <c r="T50" i="6" s="1"/>
  <c r="G66" i="6"/>
  <c r="G82" i="6"/>
  <c r="G98" i="6"/>
  <c r="G19" i="6"/>
  <c r="G35" i="6"/>
  <c r="G20" i="6"/>
  <c r="G36" i="6"/>
  <c r="G52" i="6"/>
  <c r="I8" i="6"/>
  <c r="G419" i="6"/>
  <c r="G403" i="6"/>
  <c r="G387" i="6"/>
  <c r="G371" i="6"/>
  <c r="G354" i="6"/>
  <c r="G337" i="6"/>
  <c r="G320" i="6"/>
  <c r="G302" i="6"/>
  <c r="G279" i="6"/>
  <c r="G259" i="6"/>
  <c r="G238" i="6"/>
  <c r="G215" i="6"/>
  <c r="G195" i="6"/>
  <c r="G174" i="6"/>
  <c r="G151" i="6"/>
  <c r="G131" i="6"/>
  <c r="G106" i="6"/>
  <c r="G84" i="6"/>
  <c r="G55" i="6"/>
  <c r="G22" i="6"/>
  <c r="H421" i="6"/>
  <c r="H385" i="6"/>
  <c r="H339" i="6"/>
  <c r="H275" i="6"/>
  <c r="H211" i="6"/>
  <c r="H147" i="6"/>
  <c r="H83" i="6"/>
  <c r="H19" i="6"/>
  <c r="I415" i="6"/>
  <c r="I351" i="6"/>
  <c r="I287" i="6"/>
  <c r="I223" i="6"/>
  <c r="I159" i="6"/>
  <c r="I94" i="6"/>
  <c r="I20" i="6"/>
  <c r="J363" i="6"/>
  <c r="J239" i="6"/>
  <c r="J63" i="6"/>
  <c r="L344" i="6"/>
  <c r="M15" i="6"/>
  <c r="O4" i="6"/>
  <c r="L9" i="6"/>
  <c r="H10" i="6"/>
  <c r="L5" i="6"/>
  <c r="N7" i="6"/>
  <c r="L11" i="6"/>
  <c r="N10" i="6"/>
  <c r="M3" i="6"/>
  <c r="H8" i="6"/>
  <c r="J10" i="6"/>
  <c r="L3" i="6"/>
  <c r="N6" i="6"/>
  <c r="N9" i="6"/>
  <c r="M12" i="6"/>
  <c r="L8" i="6"/>
  <c r="H12" i="6"/>
  <c r="H9" i="6"/>
  <c r="L4" i="6"/>
  <c r="H3" i="6"/>
  <c r="H6" i="6"/>
  <c r="M11" i="6"/>
  <c r="N4" i="6"/>
  <c r="N5" i="6"/>
  <c r="J3" i="6"/>
  <c r="H5" i="6"/>
  <c r="J7" i="6"/>
  <c r="M10" i="6"/>
  <c r="O12" i="6"/>
  <c r="H7" i="6"/>
  <c r="G11" i="6"/>
  <c r="J6" i="6"/>
  <c r="M9" i="6"/>
  <c r="O11" i="6"/>
  <c r="O7" i="6"/>
  <c r="O6" i="6"/>
  <c r="O5" i="6"/>
  <c r="L6" i="6"/>
  <c r="N8" i="6"/>
  <c r="G10" i="6"/>
  <c r="I12" i="6"/>
  <c r="J5" i="6"/>
  <c r="M8" i="6"/>
  <c r="O10" i="6"/>
  <c r="G9" i="6"/>
  <c r="I11" i="6"/>
  <c r="J4" i="6"/>
  <c r="M7" i="6"/>
  <c r="O9" i="6"/>
  <c r="N12" i="6"/>
  <c r="L7" i="6"/>
  <c r="N3" i="6"/>
  <c r="O8" i="6"/>
  <c r="I3" i="6"/>
  <c r="C15" i="6"/>
  <c r="B15" i="6"/>
  <c r="D15" i="6"/>
  <c r="C14" i="6"/>
  <c r="B14" i="6"/>
  <c r="D14" i="6"/>
  <c r="AB11" i="6" l="1"/>
  <c r="AI99" i="7"/>
  <c r="AI65" i="7"/>
  <c r="AI83" i="7"/>
  <c r="AI103" i="7"/>
  <c r="AI51" i="7"/>
  <c r="AI19" i="7"/>
  <c r="AI35" i="7"/>
  <c r="AI81" i="7"/>
  <c r="AI33" i="7"/>
  <c r="AI79" i="7"/>
  <c r="AI18" i="7"/>
  <c r="AI17" i="7"/>
  <c r="AI69" i="7"/>
  <c r="AI97" i="7"/>
  <c r="AI68" i="7"/>
  <c r="AI40" i="7"/>
  <c r="AI10" i="7"/>
  <c r="AI30" i="7"/>
  <c r="AI12" i="7"/>
  <c r="AI28" i="7"/>
  <c r="AI29" i="7"/>
  <c r="AI44" i="7"/>
  <c r="AI45" i="7"/>
  <c r="AI11" i="7"/>
  <c r="AI60" i="7"/>
  <c r="AI59" i="7"/>
  <c r="AI9" i="7"/>
  <c r="AI57" i="7"/>
  <c r="AI107" i="7"/>
  <c r="AI80" i="7"/>
  <c r="AI67" i="7"/>
  <c r="AI52" i="7"/>
  <c r="AI96" i="7"/>
  <c r="AI6" i="7"/>
  <c r="AI16" i="7"/>
  <c r="AI61" i="7"/>
  <c r="AI70" i="7"/>
  <c r="AI41" i="7"/>
  <c r="AI109" i="7"/>
  <c r="AI64" i="7"/>
  <c r="AI15" i="7"/>
  <c r="AI31" i="7"/>
  <c r="AI82" i="7"/>
  <c r="AI49" i="7"/>
  <c r="AI47" i="7"/>
  <c r="AI63" i="7"/>
  <c r="AI95" i="7"/>
  <c r="AI32" i="7"/>
  <c r="AI71" i="7"/>
  <c r="AI88" i="7"/>
  <c r="AI94" i="7"/>
  <c r="AI5" i="7"/>
  <c r="AI54" i="7"/>
  <c r="AI25" i="7"/>
  <c r="AI43" i="7"/>
  <c r="AI93" i="7"/>
  <c r="AI21" i="7"/>
  <c r="AI102" i="7"/>
  <c r="AI7" i="7"/>
  <c r="AI23" i="7"/>
  <c r="AI89" i="7"/>
  <c r="AI85" i="7"/>
  <c r="AI39" i="7"/>
  <c r="AI105" i="7"/>
  <c r="AI55" i="7"/>
  <c r="AI53" i="7"/>
  <c r="AI73" i="7"/>
  <c r="AI91" i="7"/>
  <c r="AI20" i="7"/>
  <c r="AI101" i="7"/>
  <c r="AI36" i="7"/>
  <c r="AI8" i="7"/>
  <c r="AI87" i="7"/>
  <c r="AI24" i="7"/>
  <c r="AI98" i="7"/>
  <c r="AI14" i="7"/>
  <c r="AI84" i="7"/>
  <c r="AI56" i="7"/>
  <c r="AI26" i="7"/>
  <c r="AI46" i="7"/>
  <c r="AI100" i="7"/>
  <c r="AI50" i="7"/>
  <c r="AI72" i="7"/>
  <c r="AI42" i="7"/>
  <c r="AI13" i="7"/>
  <c r="AI62" i="7"/>
  <c r="AI34" i="7"/>
  <c r="AI58" i="7"/>
  <c r="AI78" i="7"/>
  <c r="AI104" i="7"/>
  <c r="AI74" i="7"/>
  <c r="AI22" i="7"/>
  <c r="AI90" i="7"/>
  <c r="AI110" i="7"/>
  <c r="AI66" i="7"/>
  <c r="AI38" i="7"/>
  <c r="AI106" i="7"/>
  <c r="AI27" i="7"/>
  <c r="AI76" i="7"/>
  <c r="AI77" i="7"/>
  <c r="AI92" i="7"/>
  <c r="AI108" i="7"/>
  <c r="AI48" i="7"/>
  <c r="AI37" i="7"/>
  <c r="AI86" i="7"/>
  <c r="AI75" i="7"/>
  <c r="T153" i="6"/>
  <c r="T215" i="6"/>
  <c r="T188" i="6"/>
  <c r="T16" i="6"/>
  <c r="T251" i="6"/>
  <c r="T49" i="6"/>
  <c r="T388" i="6"/>
  <c r="T112" i="6"/>
  <c r="T32" i="6"/>
  <c r="T132" i="6"/>
  <c r="U169" i="6"/>
  <c r="U164" i="6"/>
  <c r="U152" i="6"/>
  <c r="U334" i="6"/>
  <c r="U19" i="6"/>
  <c r="U45" i="6"/>
  <c r="U204" i="6"/>
  <c r="U385" i="6"/>
  <c r="U341" i="6"/>
  <c r="U266" i="6"/>
  <c r="T261" i="6"/>
  <c r="U360" i="6"/>
  <c r="U364" i="6"/>
  <c r="U54" i="6"/>
  <c r="U97" i="6"/>
  <c r="U393" i="6"/>
  <c r="U247" i="6"/>
  <c r="U213" i="6"/>
  <c r="U79" i="6"/>
  <c r="U420" i="6"/>
  <c r="U350" i="6"/>
  <c r="U191" i="6"/>
  <c r="U110" i="6"/>
  <c r="U279" i="6"/>
  <c r="U408" i="6"/>
  <c r="U65" i="6"/>
  <c r="U399" i="6"/>
  <c r="U308" i="6"/>
  <c r="U226" i="6"/>
  <c r="U25" i="6"/>
  <c r="U241" i="6"/>
  <c r="U338" i="6"/>
  <c r="U112" i="6"/>
  <c r="U291" i="6"/>
  <c r="U26" i="6"/>
  <c r="U81" i="6"/>
  <c r="T259" i="6"/>
  <c r="U414" i="6"/>
  <c r="U326" i="6"/>
  <c r="U229" i="6"/>
  <c r="U221" i="6"/>
  <c r="U407" i="6"/>
  <c r="U195" i="6"/>
  <c r="U272" i="6"/>
  <c r="U35" i="6"/>
  <c r="U172" i="6"/>
  <c r="U185" i="6"/>
  <c r="U365" i="6"/>
  <c r="U225" i="6"/>
  <c r="U198" i="6"/>
  <c r="U223" i="6"/>
  <c r="U158" i="6"/>
  <c r="T124" i="6"/>
  <c r="W123" i="6" s="1"/>
  <c r="U98" i="6"/>
  <c r="U56" i="6"/>
  <c r="U368" i="6"/>
  <c r="U286" i="6"/>
  <c r="U394" i="6"/>
  <c r="U178" i="6"/>
  <c r="U278" i="6"/>
  <c r="U256" i="6"/>
  <c r="U30" i="6"/>
  <c r="U401" i="6"/>
  <c r="U413" i="6"/>
  <c r="U289" i="6"/>
  <c r="U378" i="6"/>
  <c r="U259" i="6"/>
  <c r="U356" i="6"/>
  <c r="U131" i="6"/>
  <c r="U14" i="6"/>
  <c r="U55" i="6"/>
  <c r="U209" i="6"/>
  <c r="U24" i="6"/>
  <c r="U422" i="6"/>
  <c r="U403" i="6"/>
  <c r="U290" i="6"/>
  <c r="U175" i="6"/>
  <c r="U295" i="6"/>
  <c r="T269" i="6"/>
  <c r="U123" i="6"/>
  <c r="U243" i="6"/>
  <c r="U340" i="6"/>
  <c r="U425" i="6"/>
  <c r="U219" i="6"/>
  <c r="U88" i="6"/>
  <c r="U168" i="6"/>
  <c r="U348" i="6"/>
  <c r="U92" i="6"/>
  <c r="W91" i="6" s="1"/>
  <c r="U23" i="6"/>
  <c r="T216" i="6"/>
  <c r="U251" i="6"/>
  <c r="U332" i="6"/>
  <c r="U76" i="6"/>
  <c r="U170" i="6"/>
  <c r="T255" i="6"/>
  <c r="T387" i="6"/>
  <c r="T303" i="6"/>
  <c r="U412" i="6"/>
  <c r="U352" i="6"/>
  <c r="U126" i="6"/>
  <c r="U127" i="6"/>
  <c r="U316" i="6"/>
  <c r="U154" i="6"/>
  <c r="T95" i="6"/>
  <c r="U50" i="6"/>
  <c r="T262" i="6"/>
  <c r="U210" i="6"/>
  <c r="U111" i="6"/>
  <c r="U300" i="6"/>
  <c r="U138" i="6"/>
  <c r="U153" i="6"/>
  <c r="T35" i="6"/>
  <c r="U384" i="6"/>
  <c r="T301" i="6"/>
  <c r="W300" i="6" s="1"/>
  <c r="T419" i="6"/>
  <c r="T57" i="6"/>
  <c r="U397" i="6"/>
  <c r="U306" i="6"/>
  <c r="U380" i="6"/>
  <c r="U160" i="6"/>
  <c r="U312" i="6"/>
  <c r="U189" i="6"/>
  <c r="U122" i="6"/>
  <c r="U310" i="6"/>
  <c r="T45" i="6"/>
  <c r="T347" i="6"/>
  <c r="U400" i="6"/>
  <c r="U324" i="6"/>
  <c r="U121" i="6"/>
  <c r="U363" i="6"/>
  <c r="U27" i="6"/>
  <c r="U137" i="6"/>
  <c r="U113" i="6"/>
  <c r="U405" i="6"/>
  <c r="U166" i="6"/>
  <c r="U142" i="6"/>
  <c r="U33" i="6"/>
  <c r="U296" i="6"/>
  <c r="U389" i="6"/>
  <c r="T15" i="6"/>
  <c r="T196" i="6"/>
  <c r="W195" i="6" s="1"/>
  <c r="U303" i="6"/>
  <c r="U375" i="6"/>
  <c r="U353" i="6"/>
  <c r="U17" i="6"/>
  <c r="U128" i="6"/>
  <c r="U232" i="6"/>
  <c r="U329" i="6"/>
  <c r="U140" i="6"/>
  <c r="U234" i="6"/>
  <c r="U327" i="6"/>
  <c r="U71" i="6"/>
  <c r="U10" i="6"/>
  <c r="U344" i="6"/>
  <c r="T154" i="6"/>
  <c r="U80" i="6"/>
  <c r="U181" i="6"/>
  <c r="U157" i="6"/>
  <c r="U20" i="6"/>
  <c r="U237" i="6"/>
  <c r="U105" i="6"/>
  <c r="U100" i="6"/>
  <c r="U398" i="6"/>
  <c r="U118" i="6"/>
  <c r="U262" i="6"/>
  <c r="U134" i="6"/>
  <c r="U240" i="6"/>
  <c r="U214" i="6"/>
  <c r="U190" i="6"/>
  <c r="U39" i="6"/>
  <c r="U187" i="6"/>
  <c r="T18" i="6"/>
  <c r="T223" i="6"/>
  <c r="T76" i="6"/>
  <c r="W75" i="6" s="1"/>
  <c r="T260" i="6"/>
  <c r="T322" i="6"/>
  <c r="U228" i="6"/>
  <c r="U114" i="6"/>
  <c r="U293" i="6"/>
  <c r="U387" i="6"/>
  <c r="T22" i="6"/>
  <c r="T316" i="6"/>
  <c r="T60" i="6"/>
  <c r="T155" i="6"/>
  <c r="T280" i="6"/>
  <c r="U347" i="6"/>
  <c r="T218" i="6"/>
  <c r="U246" i="6"/>
  <c r="U197" i="6"/>
  <c r="U390" i="6"/>
  <c r="U173" i="6"/>
  <c r="U274" i="6"/>
  <c r="U37" i="6"/>
  <c r="T237" i="6"/>
  <c r="T139" i="6"/>
  <c r="U367" i="6"/>
  <c r="U177" i="6"/>
  <c r="U277" i="6"/>
  <c r="U374" i="6"/>
  <c r="U150" i="6"/>
  <c r="T221" i="6"/>
  <c r="W220" i="6" s="1"/>
  <c r="U382" i="6"/>
  <c r="U396" i="6"/>
  <c r="U73" i="6"/>
  <c r="U377" i="6"/>
  <c r="U235" i="6"/>
  <c r="U418" i="6"/>
  <c r="U104" i="6"/>
  <c r="U231" i="6"/>
  <c r="U3" i="6"/>
  <c r="U239" i="6"/>
  <c r="U336" i="6"/>
  <c r="U109" i="6"/>
  <c r="W108" i="6" s="1"/>
  <c r="U402" i="6"/>
  <c r="U95" i="6"/>
  <c r="U284" i="6"/>
  <c r="U28" i="6"/>
  <c r="U215" i="6"/>
  <c r="W214" i="6" s="1"/>
  <c r="U94" i="6"/>
  <c r="U250" i="6"/>
  <c r="T175" i="6"/>
  <c r="W174" i="6" s="1"/>
  <c r="T252" i="6"/>
  <c r="T91" i="6"/>
  <c r="T405" i="6"/>
  <c r="U227" i="6"/>
  <c r="U242" i="6"/>
  <c r="W241" i="6" s="1"/>
  <c r="U86" i="6"/>
  <c r="W85" i="6" s="1"/>
  <c r="U292" i="6"/>
  <c r="T372" i="6"/>
  <c r="T113" i="6"/>
  <c r="T323" i="6"/>
  <c r="U427" i="6"/>
  <c r="U320" i="6"/>
  <c r="U171" i="6"/>
  <c r="U370" i="6"/>
  <c r="U36" i="6"/>
  <c r="U63" i="6"/>
  <c r="U252" i="6"/>
  <c r="U90" i="6"/>
  <c r="U6" i="6"/>
  <c r="U11" i="6"/>
  <c r="T59" i="6"/>
  <c r="T56" i="6"/>
  <c r="T133" i="6"/>
  <c r="W132" i="6" s="1"/>
  <c r="U249" i="6"/>
  <c r="U96" i="6"/>
  <c r="U373" i="6"/>
  <c r="U351" i="6"/>
  <c r="U47" i="6"/>
  <c r="U330" i="6"/>
  <c r="U174" i="6"/>
  <c r="U75" i="6"/>
  <c r="U381" i="6"/>
  <c r="U287" i="6"/>
  <c r="U179" i="6"/>
  <c r="U280" i="6"/>
  <c r="U354" i="6"/>
  <c r="U233" i="6"/>
  <c r="U331" i="6"/>
  <c r="U220" i="6"/>
  <c r="U357" i="6"/>
  <c r="U21" i="6"/>
  <c r="U238" i="6"/>
  <c r="U107" i="6"/>
  <c r="U212" i="6"/>
  <c r="T279" i="6"/>
  <c r="W278" i="6" s="1"/>
  <c r="T58" i="6"/>
  <c r="U99" i="6"/>
  <c r="U361" i="6"/>
  <c r="U423" i="6"/>
  <c r="U85" i="6"/>
  <c r="U78" i="6"/>
  <c r="U119" i="6"/>
  <c r="T285" i="6"/>
  <c r="W284" i="6" s="1"/>
  <c r="T29" i="6"/>
  <c r="U161" i="6"/>
  <c r="U337" i="6"/>
  <c r="U313" i="6"/>
  <c r="U84" i="6"/>
  <c r="U108" i="6"/>
  <c r="U202" i="6"/>
  <c r="U265" i="6"/>
  <c r="U325" i="6"/>
  <c r="U139" i="6"/>
  <c r="U318" i="6"/>
  <c r="U186" i="6"/>
  <c r="T371" i="6"/>
  <c r="T65" i="6"/>
  <c r="T207" i="6"/>
  <c r="W206" i="6" s="1"/>
  <c r="T339" i="6"/>
  <c r="T115" i="6"/>
  <c r="W114" i="6" s="1"/>
  <c r="T423" i="6"/>
  <c r="T180" i="6"/>
  <c r="U144" i="6"/>
  <c r="U224" i="6"/>
  <c r="U321" i="6"/>
  <c r="U409" i="6"/>
  <c r="U93" i="6"/>
  <c r="U297" i="6"/>
  <c r="U66" i="6"/>
  <c r="U371" i="6"/>
  <c r="U147" i="6"/>
  <c r="U143" i="6"/>
  <c r="U263" i="6"/>
  <c r="U12" i="6"/>
  <c r="U264" i="6"/>
  <c r="U372" i="6"/>
  <c r="U311" i="6"/>
  <c r="U29" i="6"/>
  <c r="U194" i="6"/>
  <c r="U410" i="6"/>
  <c r="U101" i="6"/>
  <c r="T228" i="6"/>
  <c r="T165" i="6"/>
  <c r="U248" i="6"/>
  <c r="U268" i="6"/>
  <c r="W267" i="6" s="1"/>
  <c r="T276" i="6"/>
  <c r="T416" i="6"/>
  <c r="T399" i="6"/>
  <c r="T352" i="6"/>
  <c r="T232" i="6"/>
  <c r="T313" i="6"/>
  <c r="U8" i="6"/>
  <c r="T55" i="6"/>
  <c r="T300" i="6"/>
  <c r="W299" i="6" s="1"/>
  <c r="T44" i="6"/>
  <c r="T242" i="6"/>
  <c r="T135" i="6"/>
  <c r="W134" i="6" s="1"/>
  <c r="T5" i="6"/>
  <c r="T200" i="6"/>
  <c r="U163" i="6"/>
  <c r="U201" i="6"/>
  <c r="U302" i="6"/>
  <c r="U69" i="6"/>
  <c r="U41" i="6"/>
  <c r="U16" i="6"/>
  <c r="W15" i="6" s="1"/>
  <c r="U230" i="6"/>
  <c r="U60" i="6"/>
  <c r="T270" i="6"/>
  <c r="T248" i="6"/>
  <c r="U388" i="6"/>
  <c r="W387" i="6" s="1"/>
  <c r="T21" i="6"/>
  <c r="T401" i="6"/>
  <c r="T297" i="6"/>
  <c r="T367" i="6"/>
  <c r="T101" i="6"/>
  <c r="T84" i="6"/>
  <c r="T403" i="6"/>
  <c r="T33" i="6"/>
  <c r="T284" i="6"/>
  <c r="T28" i="6"/>
  <c r="T123" i="6"/>
  <c r="W122" i="6" s="1"/>
  <c r="T24" i="6"/>
  <c r="T373" i="6"/>
  <c r="U77" i="6"/>
  <c r="W76" i="6" s="1"/>
  <c r="U288" i="6"/>
  <c r="U180" i="6"/>
  <c r="U48" i="6"/>
  <c r="W47" i="6" s="1"/>
  <c r="U155" i="6"/>
  <c r="U355" i="6"/>
  <c r="U130" i="6"/>
  <c r="U333" i="6"/>
  <c r="U44" i="6"/>
  <c r="U415" i="6"/>
  <c r="U208" i="6"/>
  <c r="U51" i="6"/>
  <c r="U261" i="6"/>
  <c r="U358" i="6"/>
  <c r="U22" i="6"/>
  <c r="U421" i="6"/>
  <c r="U83" i="6"/>
  <c r="T107" i="6"/>
  <c r="T143" i="6"/>
  <c r="U339" i="6"/>
  <c r="U424" i="6"/>
  <c r="U386" i="6"/>
  <c r="U59" i="6"/>
  <c r="U199" i="6"/>
  <c r="T320" i="6"/>
  <c r="U419" i="6"/>
  <c r="T9" i="6"/>
  <c r="T205" i="6"/>
  <c r="U345" i="6"/>
  <c r="T389" i="6"/>
  <c r="T151" i="6"/>
  <c r="T75" i="6"/>
  <c r="U245" i="6"/>
  <c r="U91" i="6"/>
  <c r="W90" i="6" s="1"/>
  <c r="U146" i="6"/>
  <c r="U346" i="6"/>
  <c r="U183" i="6"/>
  <c r="U162" i="6"/>
  <c r="U323" i="6"/>
  <c r="U411" i="6"/>
  <c r="U200" i="6"/>
  <c r="U392" i="6"/>
  <c r="U276" i="6"/>
  <c r="U40" i="6"/>
  <c r="U149" i="6"/>
  <c r="U125" i="6"/>
  <c r="U236" i="6"/>
  <c r="U74" i="6"/>
  <c r="U167" i="6"/>
  <c r="U182" i="6"/>
  <c r="U270" i="6"/>
  <c r="T174" i="6"/>
  <c r="T204" i="6"/>
  <c r="W203" i="6" s="1"/>
  <c r="U349" i="6"/>
  <c r="T357" i="6"/>
  <c r="U165" i="6"/>
  <c r="U304" i="6"/>
  <c r="U395" i="6"/>
  <c r="U376" i="6"/>
  <c r="U257" i="6"/>
  <c r="U18" i="6"/>
  <c r="U129" i="6"/>
  <c r="U102" i="6"/>
  <c r="U31" i="6"/>
  <c r="U314" i="6"/>
  <c r="U58" i="6"/>
  <c r="U151" i="6"/>
  <c r="U184" i="6"/>
  <c r="T283" i="6"/>
  <c r="W282" i="6" s="1"/>
  <c r="T27" i="6"/>
  <c r="T420" i="6"/>
  <c r="U260" i="6"/>
  <c r="U335" i="6"/>
  <c r="U82" i="6"/>
  <c r="U15" i="6"/>
  <c r="U298" i="6"/>
  <c r="U42" i="6"/>
  <c r="U269" i="6"/>
  <c r="W268" i="6" s="1"/>
  <c r="U136" i="6"/>
  <c r="U216" i="6"/>
  <c r="U315" i="6"/>
  <c r="U57" i="6"/>
  <c r="U188" i="6"/>
  <c r="W187" i="6" s="1"/>
  <c r="U282" i="6"/>
  <c r="U205" i="6"/>
  <c r="U49" i="6"/>
  <c r="W48" i="6" s="1"/>
  <c r="U218" i="6"/>
  <c r="T43" i="6"/>
  <c r="W42" i="6" s="1"/>
  <c r="T85" i="6"/>
  <c r="U5" i="6"/>
  <c r="U7" i="6"/>
  <c r="T267" i="6"/>
  <c r="U4" i="6"/>
  <c r="U9" i="6"/>
  <c r="T98" i="6"/>
  <c r="T290" i="6"/>
  <c r="T152" i="6"/>
  <c r="W151" i="6" s="1"/>
  <c r="U141" i="6"/>
  <c r="U32" i="6"/>
  <c r="W31" i="6" s="1"/>
  <c r="U244" i="6"/>
  <c r="U319" i="6"/>
  <c r="U64" i="6"/>
  <c r="W63" i="6" s="1"/>
  <c r="U369" i="6"/>
  <c r="U359" i="6"/>
  <c r="U103" i="6"/>
  <c r="U267" i="6"/>
  <c r="T108" i="6"/>
  <c r="T36" i="6"/>
  <c r="T404" i="6"/>
  <c r="W403" i="6" s="1"/>
  <c r="T19" i="6"/>
  <c r="T82" i="6"/>
  <c r="T31" i="6"/>
  <c r="T235" i="6"/>
  <c r="W234" i="6" s="1"/>
  <c r="T138" i="6"/>
  <c r="W137" i="6" s="1"/>
  <c r="U145" i="6"/>
  <c r="U322" i="6"/>
  <c r="U299" i="6"/>
  <c r="U67" i="6"/>
  <c r="U38" i="6"/>
  <c r="U148" i="6"/>
  <c r="U46" i="6"/>
  <c r="U156" i="6"/>
  <c r="U343" i="6"/>
  <c r="U87" i="6"/>
  <c r="U416" i="6"/>
  <c r="T126" i="6"/>
  <c r="T321" i="6"/>
  <c r="T158" i="6"/>
  <c r="T224" i="6"/>
  <c r="T360" i="6"/>
  <c r="T291" i="6"/>
  <c r="T272" i="6"/>
  <c r="T209" i="6"/>
  <c r="T386" i="6"/>
  <c r="T318" i="6"/>
  <c r="T254" i="6"/>
  <c r="W253" i="6" s="1"/>
  <c r="T353" i="6"/>
  <c r="T414" i="6"/>
  <c r="T356" i="6"/>
  <c r="T4" i="6"/>
  <c r="T106" i="6"/>
  <c r="W105" i="6" s="1"/>
  <c r="T17" i="6"/>
  <c r="T159" i="6"/>
  <c r="W158" i="6" s="1"/>
  <c r="T363" i="6"/>
  <c r="T338" i="6"/>
  <c r="T282" i="6"/>
  <c r="T179" i="6"/>
  <c r="T244" i="6"/>
  <c r="T37" i="6"/>
  <c r="T377" i="6"/>
  <c r="W376" i="6" s="1"/>
  <c r="T310" i="6"/>
  <c r="T292" i="6"/>
  <c r="T229" i="6"/>
  <c r="W228" i="6" s="1"/>
  <c r="T190" i="6"/>
  <c r="W189" i="6" s="1"/>
  <c r="T258" i="6"/>
  <c r="W257" i="6" s="1"/>
  <c r="T14" i="6"/>
  <c r="T402" i="6"/>
  <c r="T194" i="6"/>
  <c r="W252" i="6"/>
  <c r="T10" i="6"/>
  <c r="T131" i="6"/>
  <c r="T189" i="6"/>
  <c r="T355" i="6"/>
  <c r="T305" i="6"/>
  <c r="W304" i="6" s="1"/>
  <c r="T199" i="6"/>
  <c r="T264" i="6"/>
  <c r="T68" i="6"/>
  <c r="W67" i="6" s="1"/>
  <c r="T393" i="6"/>
  <c r="T328" i="6"/>
  <c r="W327" i="6" s="1"/>
  <c r="T311" i="6"/>
  <c r="T249" i="6"/>
  <c r="T370" i="6"/>
  <c r="T51" i="6"/>
  <c r="T257" i="6"/>
  <c r="T81" i="6"/>
  <c r="T369" i="6"/>
  <c r="T96" i="6"/>
  <c r="W172" i="6"/>
  <c r="T331" i="6"/>
  <c r="T421" i="6"/>
  <c r="T222" i="6"/>
  <c r="W221" i="6" s="1"/>
  <c r="T182" i="6"/>
  <c r="T288" i="6"/>
  <c r="T90" i="6"/>
  <c r="T409" i="6"/>
  <c r="T345" i="6"/>
  <c r="T329" i="6"/>
  <c r="T273" i="6"/>
  <c r="W272" i="6" s="1"/>
  <c r="T333" i="6"/>
  <c r="T128" i="6"/>
  <c r="T150" i="6"/>
  <c r="T122" i="6"/>
  <c r="W121" i="6" s="1"/>
  <c r="T102" i="6"/>
  <c r="T104" i="6"/>
  <c r="T185" i="6"/>
  <c r="T52" i="6"/>
  <c r="W51" i="6" s="1"/>
  <c r="T127" i="6"/>
  <c r="T236" i="6"/>
  <c r="T80" i="6"/>
  <c r="T111" i="6"/>
  <c r="W156" i="6"/>
  <c r="T220" i="6"/>
  <c r="T315" i="6"/>
  <c r="T12" i="6"/>
  <c r="T340" i="6"/>
  <c r="T243" i="6"/>
  <c r="T309" i="6"/>
  <c r="W308" i="6" s="1"/>
  <c r="T307" i="6"/>
  <c r="W306" i="6" s="1"/>
  <c r="T117" i="6"/>
  <c r="W116" i="6" s="1"/>
  <c r="T425" i="6"/>
  <c r="T362" i="6"/>
  <c r="W361" i="6" s="1"/>
  <c r="T346" i="6"/>
  <c r="T293" i="6"/>
  <c r="T53" i="6"/>
  <c r="W52" i="6" s="1"/>
  <c r="T192" i="6"/>
  <c r="W191" i="6" s="1"/>
  <c r="T383" i="6"/>
  <c r="W382" i="6" s="1"/>
  <c r="T230" i="6"/>
  <c r="T256" i="6"/>
  <c r="W255" i="6" s="1"/>
  <c r="T168" i="6"/>
  <c r="T170" i="6"/>
  <c r="W169" i="6" s="1"/>
  <c r="T247" i="6"/>
  <c r="T195" i="6"/>
  <c r="W194" i="6" s="1"/>
  <c r="T141" i="6"/>
  <c r="T299" i="6"/>
  <c r="W152" i="6"/>
  <c r="T263" i="6"/>
  <c r="T325" i="6"/>
  <c r="T137" i="6"/>
  <c r="T39" i="6"/>
  <c r="T379" i="6"/>
  <c r="W378" i="6" s="1"/>
  <c r="T364" i="6"/>
  <c r="W363" i="6" s="1"/>
  <c r="T312" i="6"/>
  <c r="T130" i="6"/>
  <c r="T382" i="6"/>
  <c r="T74" i="6"/>
  <c r="T295" i="6"/>
  <c r="W294" i="6" s="1"/>
  <c r="T417" i="6"/>
  <c r="W416" i="6" s="1"/>
  <c r="T233" i="6"/>
  <c r="T250" i="6"/>
  <c r="T20" i="6"/>
  <c r="W94" i="6"/>
  <c r="T79" i="6"/>
  <c r="T125" i="6"/>
  <c r="T110" i="6"/>
  <c r="W109" i="6" s="1"/>
  <c r="T177" i="6"/>
  <c r="T25" i="6"/>
  <c r="W24" i="6" s="1"/>
  <c r="T374" i="6"/>
  <c r="W373" i="6" s="1"/>
  <c r="T286" i="6"/>
  <c r="T342" i="6"/>
  <c r="W341" i="6" s="1"/>
  <c r="T161" i="6"/>
  <c r="T118" i="6"/>
  <c r="T70" i="6"/>
  <c r="W69" i="6" s="1"/>
  <c r="T395" i="6"/>
  <c r="T40" i="6"/>
  <c r="T380" i="6"/>
  <c r="T330" i="6"/>
  <c r="T210" i="6"/>
  <c r="W209" i="6" s="1"/>
  <c r="T148" i="6"/>
  <c r="T129" i="6"/>
  <c r="T351" i="6"/>
  <c r="T42" i="6"/>
  <c r="T298" i="6"/>
  <c r="W297" i="6" s="1"/>
  <c r="T314" i="6"/>
  <c r="T63" i="6"/>
  <c r="W62" i="6" s="1"/>
  <c r="W171" i="6"/>
  <c r="T7" i="6"/>
  <c r="W131" i="6"/>
  <c r="T197" i="6"/>
  <c r="W196" i="6" s="1"/>
  <c r="T390" i="6"/>
  <c r="W389" i="6" s="1"/>
  <c r="T306" i="6"/>
  <c r="T359" i="6"/>
  <c r="T181" i="6"/>
  <c r="W180" i="6" s="1"/>
  <c r="T266" i="6"/>
  <c r="W265" i="6" s="1"/>
  <c r="T69" i="6"/>
  <c r="W68" i="6" s="1"/>
  <c r="T97" i="6"/>
  <c r="W96" i="6" s="1"/>
  <c r="T411" i="6"/>
  <c r="T71" i="6"/>
  <c r="W70" i="6" s="1"/>
  <c r="T396" i="6"/>
  <c r="T348" i="6"/>
  <c r="T275" i="6"/>
  <c r="W274" i="6" s="1"/>
  <c r="T73" i="6"/>
  <c r="W72" i="6" s="1"/>
  <c r="T213" i="6"/>
  <c r="T384" i="6"/>
  <c r="T400" i="6"/>
  <c r="W399" i="6" s="1"/>
  <c r="T319" i="6"/>
  <c r="T366" i="6"/>
  <c r="W365" i="6" s="1"/>
  <c r="T368" i="6"/>
  <c r="T93" i="6"/>
  <c r="W216" i="6"/>
  <c r="T87" i="6"/>
  <c r="T406" i="6"/>
  <c r="W405" i="6" s="1"/>
  <c r="T324" i="6"/>
  <c r="T30" i="6"/>
  <c r="W29" i="6" s="1"/>
  <c r="T376" i="6"/>
  <c r="T201" i="6"/>
  <c r="T94" i="6"/>
  <c r="T119" i="6"/>
  <c r="T427" i="6"/>
  <c r="T99" i="6"/>
  <c r="T412" i="6"/>
  <c r="T365" i="6"/>
  <c r="W364" i="6" s="1"/>
  <c r="T334" i="6"/>
  <c r="T147" i="6"/>
  <c r="T278" i="6"/>
  <c r="W277" i="6" s="1"/>
  <c r="T274" i="6"/>
  <c r="T410" i="6"/>
  <c r="T415" i="6"/>
  <c r="W414" i="6" s="1"/>
  <c r="T335" i="6"/>
  <c r="T47" i="6"/>
  <c r="T156" i="6"/>
  <c r="T287" i="6"/>
  <c r="W286" i="6" s="1"/>
  <c r="T140" i="6"/>
  <c r="T176" i="6"/>
  <c r="W175" i="6" s="1"/>
  <c r="T241" i="6"/>
  <c r="W240" i="6" s="1"/>
  <c r="T114" i="6"/>
  <c r="T422" i="6"/>
  <c r="T341" i="6"/>
  <c r="W340" i="6" s="1"/>
  <c r="T67" i="6"/>
  <c r="T392" i="6"/>
  <c r="T225" i="6"/>
  <c r="T162" i="6"/>
  <c r="T142" i="6"/>
  <c r="T120" i="6"/>
  <c r="W119" i="6" s="1"/>
  <c r="T428" i="6"/>
  <c r="W427" i="6" s="1"/>
  <c r="T41" i="6"/>
  <c r="T381" i="6"/>
  <c r="W380" i="6" s="1"/>
  <c r="T385" i="6"/>
  <c r="W384" i="6" s="1"/>
  <c r="T212" i="6"/>
  <c r="T349" i="6"/>
  <c r="W348" i="6" s="1"/>
  <c r="T78" i="6"/>
  <c r="T332" i="6"/>
  <c r="T193" i="6"/>
  <c r="W192" i="6" s="1"/>
  <c r="T238" i="6"/>
  <c r="W250" i="6"/>
  <c r="T302" i="6"/>
  <c r="W301" i="6" s="1"/>
  <c r="T66" i="6"/>
  <c r="T271" i="6"/>
  <c r="W270" i="6" s="1"/>
  <c r="T61" i="6"/>
  <c r="W60" i="6" s="1"/>
  <c r="T219" i="6"/>
  <c r="T226" i="6"/>
  <c r="W225" i="6" s="1"/>
  <c r="T134" i="6"/>
  <c r="T8" i="6"/>
  <c r="T358" i="6"/>
  <c r="T89" i="6"/>
  <c r="W88" i="6" s="1"/>
  <c r="T408" i="6"/>
  <c r="W407" i="6" s="1"/>
  <c r="T245" i="6"/>
  <c r="T202" i="6"/>
  <c r="T163" i="6"/>
  <c r="T144" i="6"/>
  <c r="T72" i="6"/>
  <c r="W71" i="6" s="1"/>
  <c r="T397" i="6"/>
  <c r="T277" i="6"/>
  <c r="T398" i="6"/>
  <c r="W397" i="6" s="1"/>
  <c r="T149" i="6"/>
  <c r="T83" i="6"/>
  <c r="T426" i="6"/>
  <c r="W425" i="6" s="1"/>
  <c r="T418" i="6"/>
  <c r="W254" i="6"/>
  <c r="T203" i="6"/>
  <c r="W202" i="6" s="1"/>
  <c r="T327" i="6"/>
  <c r="W326" i="6" s="1"/>
  <c r="T281" i="6"/>
  <c r="W280" i="6" s="1"/>
  <c r="T26" i="6"/>
  <c r="T375" i="6"/>
  <c r="T116" i="6"/>
  <c r="W115" i="6" s="1"/>
  <c r="T424" i="6"/>
  <c r="W423" i="6" s="1"/>
  <c r="T265" i="6"/>
  <c r="T246" i="6"/>
  <c r="T183" i="6"/>
  <c r="W182" i="6" s="1"/>
  <c r="T164" i="6"/>
  <c r="T100" i="6"/>
  <c r="T413" i="6"/>
  <c r="T54" i="6"/>
  <c r="W53" i="6" s="1"/>
  <c r="T336" i="6"/>
  <c r="T214" i="6"/>
  <c r="T166" i="6"/>
  <c r="W165" i="6" s="1"/>
  <c r="T23" i="6"/>
  <c r="T103" i="6"/>
  <c r="W102" i="6" s="1"/>
  <c r="T317" i="6"/>
  <c r="W316" i="6" s="1"/>
  <c r="W370" i="6"/>
  <c r="T326" i="6"/>
  <c r="W325" i="6" s="1"/>
  <c r="W398" i="6"/>
  <c r="T11" i="6"/>
  <c r="W10" i="6" s="1"/>
  <c r="W49" i="6"/>
  <c r="T337" i="6"/>
  <c r="T34" i="6"/>
  <c r="W33" i="6" s="1"/>
  <c r="T239" i="6"/>
  <c r="T187" i="6"/>
  <c r="T240" i="6"/>
  <c r="W239" i="6" s="1"/>
  <c r="T361" i="6"/>
  <c r="W360" i="6" s="1"/>
  <c r="T304" i="6"/>
  <c r="T178" i="6"/>
  <c r="W177" i="6" s="1"/>
  <c r="T62" i="6"/>
  <c r="W61" i="6" s="1"/>
  <c r="T391" i="6"/>
  <c r="W390" i="6" s="1"/>
  <c r="T136" i="6"/>
  <c r="T6" i="6"/>
  <c r="T289" i="6"/>
  <c r="T344" i="6"/>
  <c r="T206" i="6"/>
  <c r="W205" i="6" s="1"/>
  <c r="T184" i="6"/>
  <c r="T121" i="6"/>
  <c r="T146" i="6"/>
  <c r="T394" i="6"/>
  <c r="T105" i="6"/>
  <c r="T294" i="6"/>
  <c r="W293" i="6" s="1"/>
  <c r="T231" i="6"/>
  <c r="T169" i="6"/>
  <c r="T46" i="6"/>
  <c r="T191" i="6"/>
  <c r="T343" i="6"/>
  <c r="W342" i="6" s="1"/>
  <c r="T354" i="6"/>
  <c r="T13" i="6"/>
  <c r="W12" i="6" s="1"/>
  <c r="T171" i="6"/>
  <c r="T198" i="6"/>
  <c r="T88" i="6"/>
  <c r="T407" i="6"/>
  <c r="T160" i="6"/>
  <c r="T308" i="6"/>
  <c r="W307" i="6" s="1"/>
  <c r="T378" i="6"/>
  <c r="T227" i="6"/>
  <c r="T208" i="6"/>
  <c r="W207" i="6" s="1"/>
  <c r="T145" i="6"/>
  <c r="T211" i="6"/>
  <c r="W210" i="6" s="1"/>
  <c r="T186" i="6"/>
  <c r="W185" i="6" s="1"/>
  <c r="T350" i="6"/>
  <c r="T296" i="6"/>
  <c r="T167" i="6"/>
  <c r="T234" i="6"/>
  <c r="T38" i="6"/>
  <c r="B22" i="6"/>
  <c r="B23" i="6"/>
  <c r="W111" i="6" l="1"/>
  <c r="W78" i="6"/>
  <c r="W359" i="6"/>
  <c r="W65" i="6"/>
  <c r="W249" i="6"/>
  <c r="W81" i="6"/>
  <c r="W74" i="6"/>
  <c r="W245" i="6"/>
  <c r="W391" i="6"/>
  <c r="W394" i="6"/>
  <c r="W289" i="6"/>
  <c r="W35" i="6"/>
  <c r="W331" i="6"/>
  <c r="W98" i="6"/>
  <c r="W110" i="6"/>
  <c r="W200" i="6"/>
  <c r="W79" i="6"/>
  <c r="W309" i="6"/>
  <c r="W45" i="6"/>
  <c r="W271" i="6"/>
  <c r="W288" i="6"/>
  <c r="W236" i="6"/>
  <c r="W333" i="6"/>
  <c r="W5" i="6"/>
  <c r="W392" i="6"/>
  <c r="W276" i="6"/>
  <c r="W388" i="6"/>
  <c r="W374" i="6"/>
  <c r="W315" i="6"/>
  <c r="W84" i="6"/>
  <c r="W402" i="6"/>
  <c r="W417" i="6"/>
  <c r="W40" i="6"/>
  <c r="W41" i="6"/>
  <c r="W20" i="6"/>
  <c r="W183" i="6"/>
  <c r="W143" i="6"/>
  <c r="W233" i="6"/>
  <c r="W97" i="6"/>
  <c r="W404" i="6"/>
  <c r="W13" i="6"/>
  <c r="W167" i="6"/>
  <c r="W251" i="6"/>
  <c r="W95" i="6"/>
  <c r="W338" i="6"/>
  <c r="W310" i="6"/>
  <c r="W413" i="6"/>
  <c r="W44" i="6"/>
  <c r="W312" i="6"/>
  <c r="W193" i="6"/>
  <c r="W401" i="6"/>
  <c r="W168" i="6"/>
  <c r="W144" i="6"/>
  <c r="W155" i="6"/>
  <c r="W17" i="6"/>
  <c r="W14" i="6"/>
  <c r="W133" i="6"/>
  <c r="W260" i="6"/>
  <c r="W287" i="6"/>
  <c r="W18" i="6"/>
  <c r="W305" i="6"/>
  <c r="W190" i="6"/>
  <c r="W163" i="6"/>
  <c r="W136" i="6"/>
  <c r="W345" i="6"/>
  <c r="W415" i="6"/>
  <c r="W356" i="6"/>
  <c r="W112" i="6"/>
  <c r="W275" i="6"/>
  <c r="W223" i="6"/>
  <c r="W8" i="6"/>
  <c r="W302" i="6"/>
  <c r="W64" i="6"/>
  <c r="W34" i="6"/>
  <c r="W353" i="6"/>
  <c r="W411" i="6"/>
  <c r="W100" i="6"/>
  <c r="W212" i="6"/>
  <c r="W242" i="6"/>
  <c r="W246" i="6"/>
  <c r="W339" i="6"/>
  <c r="W422" i="6"/>
  <c r="W56" i="6"/>
  <c r="W222" i="6"/>
  <c r="W181" i="6"/>
  <c r="W157" i="6"/>
  <c r="W30" i="6"/>
  <c r="W269" i="6"/>
  <c r="W371" i="6"/>
  <c r="W28" i="6"/>
  <c r="W258" i="6"/>
  <c r="W139" i="6"/>
  <c r="W126" i="6"/>
  <c r="W58" i="6"/>
  <c r="W336" i="6"/>
  <c r="W125" i="6"/>
  <c r="W21" i="6"/>
  <c r="W145" i="6"/>
  <c r="W291" i="6"/>
  <c r="W386" i="6"/>
  <c r="W117" i="6"/>
  <c r="W140" i="6"/>
  <c r="W355" i="6"/>
  <c r="W160" i="6"/>
  <c r="W218" i="6"/>
  <c r="W396" i="6"/>
  <c r="W354" i="6"/>
  <c r="W349" i="6"/>
  <c r="W87" i="6"/>
  <c r="W80" i="6"/>
  <c r="W176" i="6"/>
  <c r="W130" i="6"/>
  <c r="W419" i="6"/>
  <c r="W366" i="6"/>
  <c r="W314" i="6"/>
  <c r="W328" i="6"/>
  <c r="W106" i="6"/>
  <c r="W219" i="6"/>
  <c r="W335" i="6"/>
  <c r="W248" i="6"/>
  <c r="W135" i="6"/>
  <c r="W118" i="6"/>
  <c r="W36" i="6"/>
  <c r="W224" i="6"/>
  <c r="W383" i="6"/>
  <c r="W178" i="6"/>
  <c r="W352" i="6"/>
  <c r="W351" i="6"/>
  <c r="W244" i="6"/>
  <c r="W418" i="6"/>
  <c r="W226" i="6"/>
  <c r="W377" i="6"/>
  <c r="W19" i="6"/>
  <c r="W127" i="6"/>
  <c r="W25" i="6"/>
  <c r="W230" i="6"/>
  <c r="W292" i="6"/>
  <c r="W89" i="6"/>
  <c r="W337" i="6"/>
  <c r="W259" i="6"/>
  <c r="W346" i="6"/>
  <c r="W261" i="6"/>
  <c r="W215" i="6"/>
  <c r="W104" i="6"/>
  <c r="W323" i="6"/>
  <c r="W357" i="6"/>
  <c r="W362" i="6"/>
  <c r="W4" i="6"/>
  <c r="W227" i="6"/>
  <c r="W27" i="6"/>
  <c r="W279" i="6"/>
  <c r="W32" i="6"/>
  <c r="W330" i="6"/>
  <c r="W231" i="6"/>
  <c r="W197" i="6"/>
  <c r="W7" i="6"/>
  <c r="W113" i="6"/>
  <c r="W232" i="6"/>
  <c r="W26" i="6"/>
  <c r="W154" i="6"/>
  <c r="W120" i="6"/>
  <c r="W238" i="6"/>
  <c r="W412" i="6"/>
  <c r="W77" i="6"/>
  <c r="W273" i="6"/>
  <c r="W424" i="6"/>
  <c r="W290" i="6"/>
  <c r="W321" i="6"/>
  <c r="W400" i="6"/>
  <c r="W372" i="6"/>
  <c r="W322" i="6"/>
  <c r="W59" i="6"/>
  <c r="W55" i="6"/>
  <c r="W420" i="6"/>
  <c r="W16" i="6"/>
  <c r="W99" i="6"/>
  <c r="W166" i="6"/>
  <c r="W82" i="6"/>
  <c r="W313" i="6"/>
  <c r="W73" i="6"/>
  <c r="W184" i="6"/>
  <c r="W263" i="6"/>
  <c r="W103" i="6"/>
  <c r="W3" i="6"/>
  <c r="W164" i="6"/>
  <c r="W298" i="6"/>
  <c r="W408" i="6"/>
  <c r="W179" i="6"/>
  <c r="W159" i="6"/>
  <c r="W350" i="6"/>
  <c r="W9" i="6"/>
  <c r="W243" i="6"/>
  <c r="W320" i="6"/>
  <c r="W54" i="6"/>
  <c r="W211" i="6"/>
  <c r="W406" i="6"/>
  <c r="W426" i="6"/>
  <c r="W367" i="6"/>
  <c r="W201" i="6"/>
  <c r="W141" i="6"/>
  <c r="W281" i="6"/>
  <c r="W161" i="6"/>
  <c r="W318" i="6"/>
  <c r="W129" i="6"/>
  <c r="W23" i="6"/>
  <c r="W188" i="6"/>
  <c r="W393" i="6"/>
  <c r="W213" i="6"/>
  <c r="W46" i="6"/>
  <c r="W311" i="6"/>
  <c r="W22" i="6"/>
  <c r="W237" i="6"/>
  <c r="W379" i="6"/>
  <c r="W266" i="6"/>
  <c r="W66" i="6"/>
  <c r="W107" i="6"/>
  <c r="W295" i="6"/>
  <c r="W385" i="6"/>
  <c r="W421" i="6"/>
  <c r="W149" i="6"/>
  <c r="W208" i="6"/>
  <c r="W285" i="6"/>
  <c r="W343" i="6"/>
  <c r="W409" i="6"/>
  <c r="W347" i="6"/>
  <c r="W199" i="6"/>
  <c r="W319" i="6"/>
  <c r="W43" i="6"/>
  <c r="W83" i="6"/>
  <c r="W247" i="6"/>
  <c r="W296" i="6"/>
  <c r="W57" i="6"/>
  <c r="W173" i="6"/>
  <c r="W217" i="6"/>
  <c r="W153" i="6"/>
  <c r="W369" i="6"/>
  <c r="W264" i="6"/>
  <c r="W334" i="6"/>
  <c r="W329" i="6"/>
  <c r="W381" i="6"/>
  <c r="W395" i="6"/>
  <c r="W38" i="6"/>
  <c r="W93" i="6"/>
  <c r="W198" i="6"/>
  <c r="W303" i="6"/>
  <c r="W37" i="6"/>
  <c r="W186" i="6"/>
  <c r="W410" i="6"/>
  <c r="W324" i="6"/>
  <c r="W150" i="6"/>
  <c r="W162" i="6"/>
  <c r="W92" i="6"/>
  <c r="W142" i="6"/>
  <c r="W332" i="6"/>
  <c r="W204" i="6"/>
  <c r="W283" i="6"/>
  <c r="W147" i="6"/>
  <c r="W368" i="6"/>
  <c r="W170" i="6"/>
  <c r="W358" i="6"/>
  <c r="W138" i="6"/>
  <c r="W11" i="6"/>
  <c r="W101" i="6"/>
  <c r="W262" i="6"/>
  <c r="W229" i="6"/>
  <c r="W148" i="6"/>
  <c r="W375" i="6"/>
  <c r="W344" i="6"/>
  <c r="W86" i="6"/>
  <c r="W6" i="6"/>
  <c r="W256" i="6"/>
  <c r="W317" i="6"/>
  <c r="W124" i="6"/>
  <c r="W50" i="6"/>
  <c r="W39" i="6"/>
  <c r="W235" i="6"/>
  <c r="W128" i="6"/>
  <c r="W146" i="6"/>
  <c r="A26" i="6"/>
  <c r="AK2" i="7"/>
  <c r="AH78" i="7"/>
  <c r="AK77" i="7" s="1"/>
  <c r="AH28" i="7"/>
  <c r="AK27" i="7" s="1"/>
  <c r="AH50" i="7"/>
  <c r="AK49" i="7" s="1"/>
  <c r="AH54" i="7"/>
  <c r="AK53" i="7" s="1"/>
  <c r="AH9" i="7"/>
  <c r="AK8" i="7" s="1"/>
  <c r="AH64" i="7"/>
  <c r="AK63" i="7" s="1"/>
  <c r="AH96" i="7"/>
  <c r="AK95" i="7" s="1"/>
  <c r="AH68" i="7"/>
  <c r="AK67" i="7" s="1"/>
  <c r="AH20" i="7"/>
  <c r="AK19" i="7" s="1"/>
  <c r="AH63" i="7"/>
  <c r="AK62" i="7" s="1"/>
  <c r="AH89" i="7"/>
  <c r="AK88" i="7" s="1"/>
  <c r="AH60" i="7"/>
  <c r="AK59" i="7" s="1"/>
  <c r="AH51" i="7"/>
  <c r="AK50" i="7" s="1"/>
  <c r="AH81" i="7"/>
  <c r="AK80" i="7" s="1"/>
  <c r="AH70" i="7"/>
  <c r="AK69" i="7" s="1"/>
  <c r="AH97" i="7"/>
  <c r="AK96" i="7" s="1"/>
  <c r="AH11" i="7"/>
  <c r="AK10" i="7" s="1"/>
  <c r="AH98" i="7"/>
  <c r="AK97" i="7" s="1"/>
  <c r="AH75" i="7"/>
  <c r="AK74" i="7" s="1"/>
  <c r="AH108" i="7"/>
  <c r="AK107" i="7" s="1"/>
  <c r="AH90" i="7"/>
  <c r="AK89" i="7" s="1"/>
  <c r="AH55" i="7"/>
  <c r="AK54" i="7" s="1"/>
  <c r="AH92" i="7"/>
  <c r="AK91" i="7" s="1"/>
  <c r="AH94" i="7"/>
  <c r="AK93" i="7" s="1"/>
  <c r="AH53" i="7"/>
  <c r="AK52" i="7" s="1"/>
  <c r="AH22" i="7"/>
  <c r="AK21" i="7" s="1"/>
  <c r="AH87" i="7"/>
  <c r="AK86" i="7" s="1"/>
  <c r="AH106" i="7"/>
  <c r="AK105" i="7" s="1"/>
  <c r="AH102" i="7"/>
  <c r="AK101" i="7" s="1"/>
  <c r="AH49" i="7"/>
  <c r="AK48" i="7" s="1"/>
  <c r="AH69" i="7"/>
  <c r="AK68" i="7" s="1"/>
  <c r="AH16" i="7"/>
  <c r="AK15" i="7" s="1"/>
  <c r="AH35" i="7"/>
  <c r="AK34" i="7" s="1"/>
  <c r="AH33" i="7"/>
  <c r="AK32" i="7" s="1"/>
  <c r="AH32" i="7"/>
  <c r="AK31" i="7" s="1"/>
  <c r="AH40" i="7"/>
  <c r="AK39" i="7" s="1"/>
  <c r="AH62" i="7"/>
  <c r="AK61" i="7" s="1"/>
  <c r="AH83" i="7"/>
  <c r="AK82" i="7" s="1"/>
  <c r="AH5" i="7"/>
  <c r="AK4" i="7" s="1"/>
  <c r="AH88" i="7"/>
  <c r="AK87" i="7" s="1"/>
  <c r="AH71" i="7"/>
  <c r="AK70" i="7" s="1"/>
  <c r="AH13" i="7"/>
  <c r="AK12" i="7" s="1"/>
  <c r="AH26" i="7"/>
  <c r="AK25" i="7" s="1"/>
  <c r="AH104" i="7"/>
  <c r="AK103" i="7" s="1"/>
  <c r="AH15" i="7"/>
  <c r="AK14" i="7" s="1"/>
  <c r="AH100" i="7"/>
  <c r="AK99" i="7" s="1"/>
  <c r="AH30" i="7"/>
  <c r="AK29" i="7" s="1"/>
  <c r="AH44" i="7"/>
  <c r="AK43" i="7" s="1"/>
  <c r="AH86" i="7"/>
  <c r="AK85" i="7" s="1"/>
  <c r="AH24" i="7"/>
  <c r="AK23" i="7" s="1"/>
  <c r="AH61" i="7"/>
  <c r="AK60" i="7" s="1"/>
  <c r="AH77" i="7"/>
  <c r="AK76" i="7" s="1"/>
  <c r="AH85" i="7"/>
  <c r="AK84" i="7" s="1"/>
  <c r="AH29" i="7"/>
  <c r="AK28" i="7" s="1"/>
  <c r="AH48" i="7"/>
  <c r="AK47" i="7" s="1"/>
  <c r="AH36" i="7"/>
  <c r="AK35" i="7" s="1"/>
  <c r="AH109" i="7"/>
  <c r="AK108" i="7" s="1"/>
  <c r="AH73" i="7"/>
  <c r="AK72" i="7" s="1"/>
  <c r="AH57" i="7"/>
  <c r="AK56" i="7" s="1"/>
  <c r="AH10" i="7"/>
  <c r="AK9" i="7" s="1"/>
  <c r="AH47" i="7"/>
  <c r="AK46" i="7" s="1"/>
  <c r="AK3" i="7"/>
  <c r="AH58" i="7"/>
  <c r="AK57" i="7" s="1"/>
  <c r="AH84" i="7"/>
  <c r="AK83" i="7" s="1"/>
  <c r="AH34" i="7"/>
  <c r="AK33" i="7" s="1"/>
  <c r="AH105" i="7"/>
  <c r="AK104" i="7" s="1"/>
  <c r="AH93" i="7"/>
  <c r="AK92" i="7" s="1"/>
  <c r="AH67" i="7"/>
  <c r="AK66" i="7" s="1"/>
  <c r="AH72" i="7"/>
  <c r="AK71" i="7" s="1"/>
  <c r="AH27" i="7"/>
  <c r="AK26" i="7" s="1"/>
  <c r="AH45" i="7"/>
  <c r="AK44" i="7" s="1"/>
  <c r="AH76" i="7"/>
  <c r="AK75" i="7" s="1"/>
  <c r="AH42" i="7"/>
  <c r="AK41" i="7" s="1"/>
  <c r="AH66" i="7"/>
  <c r="AK65" i="7" s="1"/>
  <c r="AH38" i="7"/>
  <c r="AK37" i="7" s="1"/>
  <c r="AH107" i="7"/>
  <c r="AK106" i="7" s="1"/>
  <c r="AH7" i="7"/>
  <c r="AK6" i="7" s="1"/>
  <c r="AH23" i="7"/>
  <c r="AK22" i="7" s="1"/>
  <c r="AH52" i="7"/>
  <c r="AK51" i="7" s="1"/>
  <c r="AH43" i="7"/>
  <c r="AK42" i="7" s="1"/>
  <c r="AH21" i="7"/>
  <c r="AK20" i="7" s="1"/>
  <c r="AH74" i="7"/>
  <c r="AK73" i="7" s="1"/>
  <c r="AH41" i="7"/>
  <c r="AK40" i="7" s="1"/>
  <c r="AH46" i="7"/>
  <c r="AK45" i="7" s="1"/>
  <c r="AH80" i="7"/>
  <c r="AK79" i="7" s="1"/>
  <c r="AH25" i="7"/>
  <c r="AK24" i="7" s="1"/>
  <c r="AH8" i="7"/>
  <c r="AK7" i="7" s="1"/>
  <c r="AH14" i="7"/>
  <c r="AK13" i="7" s="1"/>
  <c r="AH82" i="7"/>
  <c r="AK81" i="7" s="1"/>
  <c r="AH39" i="7"/>
  <c r="AK38" i="7" s="1"/>
  <c r="AH95" i="7"/>
  <c r="AK94" i="7" s="1"/>
  <c r="AH101" i="7"/>
  <c r="AK100" i="7" s="1"/>
  <c r="AH37" i="7"/>
  <c r="AK36" i="7" s="1"/>
  <c r="AH110" i="7"/>
  <c r="AK109" i="7" s="1"/>
  <c r="AH65" i="7"/>
  <c r="AK64" i="7" s="1"/>
  <c r="AH19" i="7"/>
  <c r="AK18" i="7" s="1"/>
  <c r="AH6" i="7"/>
  <c r="AK5" i="7" s="1"/>
  <c r="AH99" i="7"/>
  <c r="AK98" i="7" s="1"/>
  <c r="AH56" i="7"/>
  <c r="AK55" i="7" s="1"/>
  <c r="AH103" i="7"/>
  <c r="AK102" i="7" s="1"/>
  <c r="AH79" i="7"/>
  <c r="AK78" i="7" s="1"/>
  <c r="AH17" i="7"/>
  <c r="AK16" i="7" s="1"/>
  <c r="AH31" i="7"/>
  <c r="AK30" i="7" s="1"/>
  <c r="AH18" i="7"/>
  <c r="AK17" i="7" s="1"/>
  <c r="AH12" i="7"/>
  <c r="AK11" i="7" s="1"/>
  <c r="AH91" i="7"/>
  <c r="AK90" i="7" s="1"/>
  <c r="AH59" i="7"/>
  <c r="AK58" i="7" s="1"/>
  <c r="AM8" i="7" l="1"/>
  <c r="AN8" i="7"/>
  <c r="AO8" i="7"/>
  <c r="AP8" i="7"/>
  <c r="AM11" i="7" l="1"/>
  <c r="AN11" i="7"/>
  <c r="AO11" i="7"/>
  <c r="AP11" i="7" l="1"/>
</calcChain>
</file>

<file path=xl/sharedStrings.xml><?xml version="1.0" encoding="utf-8"?>
<sst xmlns="http://schemas.openxmlformats.org/spreadsheetml/2006/main" count="137" uniqueCount="39">
  <si>
    <t>Gender</t>
  </si>
  <si>
    <t>Hemoglobin</t>
  </si>
  <si>
    <t>MCH</t>
  </si>
  <si>
    <t>MCHC</t>
  </si>
  <si>
    <t>MCV</t>
  </si>
  <si>
    <t>Result</t>
  </si>
  <si>
    <t>STATISTIK</t>
  </si>
  <si>
    <t>HEMOGLOBIN</t>
  </si>
  <si>
    <t>MEAN (SEHAT/0)</t>
  </si>
  <si>
    <t>STDEV (SEHAT/0)</t>
  </si>
  <si>
    <t>MEAN (ANEMIA/1)</t>
  </si>
  <si>
    <t>STDEV (ANEMIA/1)</t>
  </si>
  <si>
    <t>Tes Data Pasien</t>
  </si>
  <si>
    <t>LL HB</t>
  </si>
  <si>
    <t>LL MCH</t>
  </si>
  <si>
    <t>LL MCHC</t>
  </si>
  <si>
    <t>LL MCV</t>
  </si>
  <si>
    <t>Kecocokan Data (Likelihood)</t>
  </si>
  <si>
    <t>Peluang Awal (Prior)</t>
  </si>
  <si>
    <t>Prior Anemia (P1)</t>
  </si>
  <si>
    <t>Prior Sehat (P0)</t>
  </si>
  <si>
    <t>Skor Akhir</t>
  </si>
  <si>
    <t>Skor Sehat</t>
  </si>
  <si>
    <t>Skor Anemia</t>
  </si>
  <si>
    <t>Rumus Kesimpulan Otomatis</t>
  </si>
  <si>
    <t>Kecocokan Data Sehat</t>
  </si>
  <si>
    <t>Kecocokan Data Anemia</t>
  </si>
  <si>
    <t>Rumus Presisi</t>
  </si>
  <si>
    <t>Rumus Recall</t>
  </si>
  <si>
    <t>Rumus F1-Score</t>
  </si>
  <si>
    <t>TN</t>
  </si>
  <si>
    <t>FP</t>
  </si>
  <si>
    <t>FN</t>
  </si>
  <si>
    <t>TP</t>
  </si>
  <si>
    <t>Rumus Akurasi</t>
  </si>
  <si>
    <t>Pasien Sehat, Ditebak Benar.</t>
  </si>
  <si>
    <t>Pasien Sehat, Dituduh Sakit.</t>
  </si>
  <si>
    <t>Pasien Sakit, Lolos Deteksi.</t>
  </si>
  <si>
    <t>Pasien Sakit, Ditebak Benar.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</si>
</sst>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33" borderId="0" xfId="0" applyFill="1"/>
    <xf numFmtId="2" fontId="0" fillId="0" borderId="0" xfId="0" applyNumberFormat="1"/>
    <xf numFmtId="0" fontId="0" fillId="34" borderId="0" xfId="0" applyFill="1"/>
    <xf numFmtId="0" fontId="0" fillId="35" borderId="1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34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33" borderId="0" xfId="0" applyNumberFormat="1" applyFill="1" applyAlignment="1">
      <alignment horizontal="center" vertical="center"/>
    </xf>
    <xf numFmtId="2" fontId="0" fillId="34" borderId="0" xfId="0" applyNumberFormat="1" applyFill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6" borderId="0" xfId="0" applyFill="1"/>
    <xf numFmtId="0" fontId="0" fillId="0" borderId="10" xfId="0" applyBorder="1"/>
    <xf numFmtId="0" fontId="0" fillId="35" borderId="10" xfId="0" applyFill="1" applyBorder="1"/>
    <xf numFmtId="0" fontId="0" fillId="35" borderId="11" xfId="0" applyFill="1" applyBorder="1" applyAlignment="1">
      <alignment horizontal="center" vertical="center"/>
    </xf>
    <xf numFmtId="0" fontId="0" fillId="35" borderId="12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22"/>
  <sheetViews>
    <sheetView workbookViewId="0">
      <selection activeCell="A2" sqref="A2"/>
    </sheetView>
  </sheetViews>
  <sheetFormatPr defaultRowHeight="15" x14ac:dyDescent="0.25"/>
  <cols>
    <col min="1" max="1" width="7.5703125" bestFit="1" customWidth="1"/>
    <col min="2" max="2" width="11.85546875" bestFit="1" customWidth="1"/>
    <col min="3" max="3" width="5.140625" bestFit="1" customWidth="1"/>
    <col min="4" max="4" width="6.28515625" bestFit="1" customWidth="1"/>
    <col min="5" max="5" width="6" bestFit="1" customWidth="1"/>
    <col min="6" max="6" width="6.5703125" bestFit="1" customWidth="1"/>
  </cols>
  <sheetData>
    <row r="1" spans="1:6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spans="1:6" x14ac:dyDescent="0.25">
      <c r="A2">
        <v>1</v>
      </c>
      <c r="B2">
        <v>14.9</v>
      </c>
      <c r="C2">
        <v>22.7</v>
      </c>
      <c r="D2">
        <v>29.1</v>
      </c>
      <c r="E2">
        <v>83.7</v>
      </c>
      <c r="F2">
        <v>0</v>
      </c>
    </row>
    <row r="3" spans="1:6" x14ac:dyDescent="0.25">
      <c r="A3">
        <v>0</v>
      </c>
      <c r="B3">
        <v>15.9</v>
      </c>
      <c r="C3">
        <v>25.4</v>
      </c>
      <c r="D3">
        <v>28.3</v>
      </c>
      <c r="E3">
        <v>72</v>
      </c>
      <c r="F3">
        <v>0</v>
      </c>
    </row>
    <row r="4" spans="1:6" x14ac:dyDescent="0.25">
      <c r="A4">
        <v>0</v>
      </c>
      <c r="B4">
        <v>9</v>
      </c>
      <c r="C4">
        <v>21.5</v>
      </c>
      <c r="D4">
        <v>29.6</v>
      </c>
      <c r="E4">
        <v>71.2</v>
      </c>
      <c r="F4">
        <v>1</v>
      </c>
    </row>
    <row r="5" spans="1:6" x14ac:dyDescent="0.25">
      <c r="A5">
        <v>0</v>
      </c>
      <c r="B5">
        <v>14.9</v>
      </c>
      <c r="C5">
        <v>16</v>
      </c>
      <c r="D5">
        <v>31.4</v>
      </c>
      <c r="E5">
        <v>87.5</v>
      </c>
      <c r="F5">
        <v>0</v>
      </c>
    </row>
    <row r="6" spans="1:6" x14ac:dyDescent="0.25">
      <c r="A6">
        <v>1</v>
      </c>
      <c r="B6">
        <v>14.7</v>
      </c>
      <c r="C6">
        <v>22</v>
      </c>
      <c r="D6">
        <v>28.2</v>
      </c>
      <c r="E6">
        <v>99.5</v>
      </c>
      <c r="F6">
        <v>0</v>
      </c>
    </row>
    <row r="7" spans="1:6" x14ac:dyDescent="0.25">
      <c r="A7">
        <v>0</v>
      </c>
      <c r="B7">
        <v>11.6</v>
      </c>
      <c r="C7">
        <v>22.3</v>
      </c>
      <c r="D7">
        <v>30.9</v>
      </c>
      <c r="E7">
        <v>74.5</v>
      </c>
      <c r="F7">
        <v>1</v>
      </c>
    </row>
    <row r="8" spans="1:6" x14ac:dyDescent="0.25">
      <c r="A8">
        <v>1</v>
      </c>
      <c r="B8">
        <v>12.7</v>
      </c>
      <c r="C8">
        <v>19.5</v>
      </c>
      <c r="D8">
        <v>28.9</v>
      </c>
      <c r="E8">
        <v>82.9</v>
      </c>
      <c r="F8">
        <v>1</v>
      </c>
    </row>
    <row r="9" spans="1:6" x14ac:dyDescent="0.25">
      <c r="A9">
        <v>1</v>
      </c>
      <c r="B9">
        <v>12.7</v>
      </c>
      <c r="C9">
        <v>28.5</v>
      </c>
      <c r="D9">
        <v>28.2</v>
      </c>
      <c r="E9">
        <v>92.3</v>
      </c>
      <c r="F9">
        <v>1</v>
      </c>
    </row>
    <row r="10" spans="1:6" x14ac:dyDescent="0.25">
      <c r="A10">
        <v>0</v>
      </c>
      <c r="B10">
        <v>14.1</v>
      </c>
      <c r="C10">
        <v>29.7</v>
      </c>
      <c r="D10">
        <v>30.5</v>
      </c>
      <c r="E10">
        <v>75.2</v>
      </c>
      <c r="F10">
        <v>0</v>
      </c>
    </row>
    <row r="11" spans="1:6" x14ac:dyDescent="0.25">
      <c r="A11">
        <v>1</v>
      </c>
      <c r="B11">
        <v>14.9</v>
      </c>
      <c r="C11">
        <v>25.8</v>
      </c>
      <c r="D11">
        <v>31.3</v>
      </c>
      <c r="E11">
        <v>82.9</v>
      </c>
      <c r="F11">
        <v>0</v>
      </c>
    </row>
    <row r="12" spans="1:6" x14ac:dyDescent="0.25">
      <c r="A12">
        <v>1</v>
      </c>
      <c r="B12">
        <v>13</v>
      </c>
      <c r="C12">
        <v>18.3</v>
      </c>
      <c r="D12">
        <v>29.6</v>
      </c>
      <c r="E12">
        <v>87.8</v>
      </c>
      <c r="F12">
        <v>1</v>
      </c>
    </row>
    <row r="13" spans="1:6" x14ac:dyDescent="0.25">
      <c r="A13">
        <v>0</v>
      </c>
      <c r="B13">
        <v>16.7</v>
      </c>
      <c r="C13">
        <v>27.5</v>
      </c>
      <c r="D13">
        <v>28.2</v>
      </c>
      <c r="E13">
        <v>93</v>
      </c>
      <c r="F13">
        <v>0</v>
      </c>
    </row>
    <row r="14" spans="1:6" x14ac:dyDescent="0.25">
      <c r="A14">
        <v>0</v>
      </c>
      <c r="B14">
        <v>13.4</v>
      </c>
      <c r="C14">
        <v>25.2</v>
      </c>
      <c r="D14">
        <v>30.2</v>
      </c>
      <c r="E14">
        <v>95.9</v>
      </c>
      <c r="F14">
        <v>0</v>
      </c>
    </row>
    <row r="15" spans="1:6" x14ac:dyDescent="0.25">
      <c r="A15">
        <v>0</v>
      </c>
      <c r="B15">
        <v>14.7</v>
      </c>
      <c r="C15">
        <v>28.9</v>
      </c>
      <c r="D15">
        <v>31</v>
      </c>
      <c r="E15">
        <v>69.8</v>
      </c>
      <c r="F15">
        <v>0</v>
      </c>
    </row>
    <row r="16" spans="1:6" x14ac:dyDescent="0.25">
      <c r="A16">
        <v>0</v>
      </c>
      <c r="B16">
        <v>15.9</v>
      </c>
      <c r="C16">
        <v>24.3</v>
      </c>
      <c r="D16">
        <v>28.7</v>
      </c>
      <c r="E16">
        <v>91.5</v>
      </c>
      <c r="F16">
        <v>0</v>
      </c>
    </row>
    <row r="17" spans="1:6" x14ac:dyDescent="0.25">
      <c r="A17">
        <v>1</v>
      </c>
      <c r="B17">
        <v>14</v>
      </c>
      <c r="C17">
        <v>25.5</v>
      </c>
      <c r="D17">
        <v>32</v>
      </c>
      <c r="E17">
        <v>81.599999999999994</v>
      </c>
      <c r="F17">
        <v>0</v>
      </c>
    </row>
    <row r="18" spans="1:6" x14ac:dyDescent="0.25">
      <c r="A18">
        <v>1</v>
      </c>
      <c r="B18">
        <v>15.9</v>
      </c>
      <c r="C18">
        <v>24</v>
      </c>
      <c r="D18">
        <v>27.9</v>
      </c>
      <c r="E18">
        <v>83.7</v>
      </c>
      <c r="F18">
        <v>0</v>
      </c>
    </row>
    <row r="19" spans="1:6" x14ac:dyDescent="0.25">
      <c r="A19">
        <v>1</v>
      </c>
      <c r="B19">
        <v>12.3</v>
      </c>
      <c r="C19">
        <v>21.8</v>
      </c>
      <c r="D19">
        <v>27.8</v>
      </c>
      <c r="E19">
        <v>77.900000000000006</v>
      </c>
      <c r="F19">
        <v>1</v>
      </c>
    </row>
    <row r="20" spans="1:6" x14ac:dyDescent="0.25">
      <c r="A20">
        <v>1</v>
      </c>
      <c r="B20">
        <v>15.4</v>
      </c>
      <c r="C20">
        <v>24.6</v>
      </c>
      <c r="D20">
        <v>30.1</v>
      </c>
      <c r="E20">
        <v>94.3</v>
      </c>
      <c r="F20">
        <v>0</v>
      </c>
    </row>
    <row r="21" spans="1:6" x14ac:dyDescent="0.25">
      <c r="A21">
        <v>0</v>
      </c>
      <c r="B21">
        <v>13.6</v>
      </c>
      <c r="C21">
        <v>19.3</v>
      </c>
      <c r="D21">
        <v>31.4</v>
      </c>
      <c r="E21">
        <v>78.900000000000006</v>
      </c>
      <c r="F21">
        <v>0</v>
      </c>
    </row>
    <row r="22" spans="1:6" x14ac:dyDescent="0.25">
      <c r="A22">
        <v>1</v>
      </c>
      <c r="B22">
        <v>16.5</v>
      </c>
      <c r="C22">
        <v>19.3</v>
      </c>
      <c r="D22">
        <v>29.2</v>
      </c>
      <c r="E22">
        <v>69.7</v>
      </c>
      <c r="F22">
        <v>0</v>
      </c>
    </row>
    <row r="23" spans="1:6" x14ac:dyDescent="0.25">
      <c r="A23">
        <v>1</v>
      </c>
      <c r="B23">
        <v>16.2</v>
      </c>
      <c r="C23">
        <v>17.2</v>
      </c>
      <c r="D23">
        <v>32.200000000000003</v>
      </c>
      <c r="E23">
        <v>78.400000000000006</v>
      </c>
      <c r="F23">
        <v>0</v>
      </c>
    </row>
    <row r="24" spans="1:6" x14ac:dyDescent="0.25">
      <c r="A24">
        <v>0</v>
      </c>
      <c r="B24">
        <v>6.9</v>
      </c>
      <c r="C24">
        <v>28.1</v>
      </c>
      <c r="D24">
        <v>32.5</v>
      </c>
      <c r="E24">
        <v>94.6</v>
      </c>
      <c r="F24">
        <v>1</v>
      </c>
    </row>
    <row r="25" spans="1:6" x14ac:dyDescent="0.25">
      <c r="A25">
        <v>1</v>
      </c>
      <c r="B25">
        <v>11.8</v>
      </c>
      <c r="C25">
        <v>16.3</v>
      </c>
      <c r="D25">
        <v>30.9</v>
      </c>
      <c r="E25">
        <v>78.7</v>
      </c>
      <c r="F25">
        <v>1</v>
      </c>
    </row>
    <row r="26" spans="1:6" x14ac:dyDescent="0.25">
      <c r="A26">
        <v>1</v>
      </c>
      <c r="B26">
        <v>11</v>
      </c>
      <c r="C26">
        <v>26</v>
      </c>
      <c r="D26">
        <v>32.200000000000003</v>
      </c>
      <c r="E26">
        <v>98.9</v>
      </c>
      <c r="F26">
        <v>1</v>
      </c>
    </row>
    <row r="27" spans="1:6" x14ac:dyDescent="0.25">
      <c r="A27">
        <v>1</v>
      </c>
      <c r="B27">
        <v>11</v>
      </c>
      <c r="C27">
        <v>25.2</v>
      </c>
      <c r="D27">
        <v>30.9</v>
      </c>
      <c r="E27">
        <v>83.2</v>
      </c>
      <c r="F27">
        <v>1</v>
      </c>
    </row>
    <row r="28" spans="1:6" x14ac:dyDescent="0.25">
      <c r="A28">
        <v>0</v>
      </c>
      <c r="B28">
        <v>10.7</v>
      </c>
      <c r="C28">
        <v>21.3</v>
      </c>
      <c r="D28">
        <v>29.1</v>
      </c>
      <c r="E28">
        <v>78.7</v>
      </c>
      <c r="F28">
        <v>1</v>
      </c>
    </row>
    <row r="29" spans="1:6" x14ac:dyDescent="0.25">
      <c r="A29">
        <v>1</v>
      </c>
      <c r="B29">
        <v>14.8</v>
      </c>
      <c r="C29">
        <v>23.4</v>
      </c>
      <c r="D29">
        <v>29.2</v>
      </c>
      <c r="E29">
        <v>74.7</v>
      </c>
      <c r="F29">
        <v>0</v>
      </c>
    </row>
    <row r="30" spans="1:6" x14ac:dyDescent="0.25">
      <c r="A30">
        <v>0</v>
      </c>
      <c r="B30">
        <v>12.1</v>
      </c>
      <c r="C30">
        <v>28.3</v>
      </c>
      <c r="D30">
        <v>29.2</v>
      </c>
      <c r="E30">
        <v>99.7</v>
      </c>
      <c r="F30">
        <v>0</v>
      </c>
    </row>
    <row r="31" spans="1:6" x14ac:dyDescent="0.25">
      <c r="A31">
        <v>1</v>
      </c>
      <c r="B31">
        <v>14.7</v>
      </c>
      <c r="C31">
        <v>23.4</v>
      </c>
      <c r="D31">
        <v>29.9</v>
      </c>
      <c r="E31">
        <v>85.3</v>
      </c>
      <c r="F31">
        <v>0</v>
      </c>
    </row>
    <row r="32" spans="1:6" x14ac:dyDescent="0.25">
      <c r="A32">
        <v>0</v>
      </c>
      <c r="B32">
        <v>11.2</v>
      </c>
      <c r="C32">
        <v>16.100000000000001</v>
      </c>
      <c r="D32">
        <v>30.3</v>
      </c>
      <c r="E32">
        <v>82.6</v>
      </c>
      <c r="F32">
        <v>1</v>
      </c>
    </row>
    <row r="33" spans="1:6" x14ac:dyDescent="0.25">
      <c r="A33">
        <v>1</v>
      </c>
      <c r="B33">
        <v>14.3</v>
      </c>
      <c r="C33">
        <v>16.399999999999999</v>
      </c>
      <c r="D33">
        <v>29.9</v>
      </c>
      <c r="E33">
        <v>90.1</v>
      </c>
      <c r="F33">
        <v>0</v>
      </c>
    </row>
    <row r="34" spans="1:6" x14ac:dyDescent="0.25">
      <c r="A34">
        <v>1</v>
      </c>
      <c r="B34">
        <v>14.3</v>
      </c>
      <c r="C34">
        <v>24.1</v>
      </c>
      <c r="D34">
        <v>28.7</v>
      </c>
      <c r="E34">
        <v>97.2</v>
      </c>
      <c r="F34">
        <v>0</v>
      </c>
    </row>
    <row r="35" spans="1:6" x14ac:dyDescent="0.25">
      <c r="A35">
        <v>0</v>
      </c>
      <c r="B35">
        <v>11</v>
      </c>
      <c r="C35">
        <v>17</v>
      </c>
      <c r="D35">
        <v>29.5</v>
      </c>
      <c r="E35">
        <v>75.3</v>
      </c>
      <c r="F35">
        <v>1</v>
      </c>
    </row>
    <row r="36" spans="1:6" x14ac:dyDescent="0.25">
      <c r="A36">
        <v>0</v>
      </c>
      <c r="B36">
        <v>11.9</v>
      </c>
      <c r="C36">
        <v>29.5</v>
      </c>
      <c r="D36">
        <v>32.200000000000003</v>
      </c>
      <c r="E36">
        <v>87.8</v>
      </c>
      <c r="F36">
        <v>1</v>
      </c>
    </row>
    <row r="37" spans="1:6" x14ac:dyDescent="0.25">
      <c r="A37">
        <v>1</v>
      </c>
      <c r="B37">
        <v>13.5</v>
      </c>
      <c r="C37">
        <v>22.1</v>
      </c>
      <c r="D37">
        <v>29.6</v>
      </c>
      <c r="E37">
        <v>74.7</v>
      </c>
      <c r="F37">
        <v>0</v>
      </c>
    </row>
    <row r="38" spans="1:6" x14ac:dyDescent="0.25">
      <c r="A38">
        <v>1</v>
      </c>
      <c r="B38">
        <v>14.9</v>
      </c>
      <c r="C38">
        <v>17.600000000000001</v>
      </c>
      <c r="D38">
        <v>32.4</v>
      </c>
      <c r="E38">
        <v>101.5</v>
      </c>
      <c r="F38">
        <v>0</v>
      </c>
    </row>
    <row r="39" spans="1:6" x14ac:dyDescent="0.25">
      <c r="A39">
        <v>0</v>
      </c>
      <c r="B39">
        <v>14.9</v>
      </c>
      <c r="C39">
        <v>29.1</v>
      </c>
      <c r="D39">
        <v>32.1</v>
      </c>
      <c r="E39">
        <v>84.9</v>
      </c>
      <c r="F39">
        <v>0</v>
      </c>
    </row>
    <row r="40" spans="1:6" x14ac:dyDescent="0.25">
      <c r="A40">
        <v>0</v>
      </c>
      <c r="B40">
        <v>11.6</v>
      </c>
      <c r="C40">
        <v>19.399999999999999</v>
      </c>
      <c r="D40">
        <v>30.1</v>
      </c>
      <c r="E40">
        <v>85.3</v>
      </c>
      <c r="F40">
        <v>1</v>
      </c>
    </row>
    <row r="41" spans="1:6" x14ac:dyDescent="0.25">
      <c r="A41">
        <v>0</v>
      </c>
      <c r="B41">
        <v>12.5</v>
      </c>
      <c r="C41">
        <v>23.5</v>
      </c>
      <c r="D41">
        <v>30.6</v>
      </c>
      <c r="E41">
        <v>82.8</v>
      </c>
      <c r="F41">
        <v>0</v>
      </c>
    </row>
    <row r="42" spans="1:6" x14ac:dyDescent="0.25">
      <c r="A42">
        <v>0</v>
      </c>
      <c r="B42">
        <v>14.5</v>
      </c>
      <c r="C42">
        <v>24.9</v>
      </c>
      <c r="D42">
        <v>29</v>
      </c>
      <c r="E42">
        <v>81.8</v>
      </c>
      <c r="F42">
        <v>0</v>
      </c>
    </row>
    <row r="43" spans="1:6" x14ac:dyDescent="0.25">
      <c r="A43">
        <v>1</v>
      </c>
      <c r="B43">
        <v>12.8</v>
      </c>
      <c r="C43">
        <v>21.2</v>
      </c>
      <c r="D43">
        <v>31.7</v>
      </c>
      <c r="E43">
        <v>73.3</v>
      </c>
      <c r="F43">
        <v>1</v>
      </c>
    </row>
    <row r="44" spans="1:6" x14ac:dyDescent="0.25">
      <c r="A44">
        <v>0</v>
      </c>
      <c r="B44">
        <v>12.8</v>
      </c>
      <c r="C44">
        <v>21.3</v>
      </c>
      <c r="D44">
        <v>29.4</v>
      </c>
      <c r="E44">
        <v>94.2</v>
      </c>
      <c r="F44">
        <v>0</v>
      </c>
    </row>
    <row r="45" spans="1:6" x14ac:dyDescent="0.25">
      <c r="A45">
        <v>0</v>
      </c>
      <c r="B45">
        <v>15.2</v>
      </c>
      <c r="C45">
        <v>28.1</v>
      </c>
      <c r="D45">
        <v>31.4</v>
      </c>
      <c r="E45">
        <v>77.3</v>
      </c>
      <c r="F45">
        <v>0</v>
      </c>
    </row>
    <row r="46" spans="1:6" x14ac:dyDescent="0.25">
      <c r="A46">
        <v>0</v>
      </c>
      <c r="B46">
        <v>16.100000000000001</v>
      </c>
      <c r="C46">
        <v>21.4</v>
      </c>
      <c r="D46">
        <v>29.1</v>
      </c>
      <c r="E46">
        <v>88.8</v>
      </c>
      <c r="F46">
        <v>0</v>
      </c>
    </row>
    <row r="47" spans="1:6" x14ac:dyDescent="0.25">
      <c r="A47">
        <v>0</v>
      </c>
      <c r="B47">
        <v>11.7</v>
      </c>
      <c r="C47">
        <v>26.3</v>
      </c>
      <c r="D47">
        <v>30</v>
      </c>
      <c r="E47">
        <v>70.5</v>
      </c>
      <c r="F47">
        <v>1</v>
      </c>
    </row>
    <row r="48" spans="1:6" x14ac:dyDescent="0.25">
      <c r="A48">
        <v>1</v>
      </c>
      <c r="B48">
        <v>16.7</v>
      </c>
      <c r="C48">
        <v>20.8</v>
      </c>
      <c r="D48">
        <v>31.9</v>
      </c>
      <c r="E48">
        <v>85.1</v>
      </c>
      <c r="F48">
        <v>0</v>
      </c>
    </row>
    <row r="49" spans="1:6" x14ac:dyDescent="0.25">
      <c r="A49">
        <v>1</v>
      </c>
      <c r="B49">
        <v>11.3</v>
      </c>
      <c r="C49">
        <v>26.7</v>
      </c>
      <c r="D49">
        <v>29.8</v>
      </c>
      <c r="E49">
        <v>92.7</v>
      </c>
      <c r="F49">
        <v>1</v>
      </c>
    </row>
    <row r="50" spans="1:6" x14ac:dyDescent="0.25">
      <c r="A50">
        <v>0</v>
      </c>
      <c r="B50">
        <v>15.3</v>
      </c>
      <c r="C50">
        <v>18.600000000000001</v>
      </c>
      <c r="D50">
        <v>30.4</v>
      </c>
      <c r="E50">
        <v>96.6</v>
      </c>
      <c r="F50">
        <v>0</v>
      </c>
    </row>
    <row r="51" spans="1:6" x14ac:dyDescent="0.25">
      <c r="A51">
        <v>1</v>
      </c>
      <c r="B51">
        <v>14.4</v>
      </c>
      <c r="C51">
        <v>28.1</v>
      </c>
      <c r="D51">
        <v>28.5</v>
      </c>
      <c r="E51">
        <v>93.2</v>
      </c>
      <c r="F51">
        <v>0</v>
      </c>
    </row>
    <row r="52" spans="1:6" x14ac:dyDescent="0.25">
      <c r="A52">
        <v>1</v>
      </c>
      <c r="B52">
        <v>13.1</v>
      </c>
      <c r="C52">
        <v>28.3</v>
      </c>
      <c r="D52">
        <v>29.6</v>
      </c>
      <c r="E52">
        <v>86.5</v>
      </c>
      <c r="F52">
        <v>1</v>
      </c>
    </row>
    <row r="53" spans="1:6" x14ac:dyDescent="0.25">
      <c r="A53">
        <v>1</v>
      </c>
      <c r="B53">
        <v>12.7</v>
      </c>
      <c r="C53">
        <v>19.100000000000001</v>
      </c>
      <c r="D53">
        <v>29.8</v>
      </c>
      <c r="E53">
        <v>84.3</v>
      </c>
      <c r="F53">
        <v>1</v>
      </c>
    </row>
    <row r="54" spans="1:6" x14ac:dyDescent="0.25">
      <c r="A54">
        <v>0</v>
      </c>
      <c r="B54">
        <v>14.8</v>
      </c>
      <c r="C54">
        <v>28.2</v>
      </c>
      <c r="D54">
        <v>30.8</v>
      </c>
      <c r="E54">
        <v>70.7</v>
      </c>
      <c r="F54">
        <v>0</v>
      </c>
    </row>
    <row r="55" spans="1:6" x14ac:dyDescent="0.25">
      <c r="A55">
        <v>0</v>
      </c>
      <c r="B55">
        <v>16.899999999999999</v>
      </c>
      <c r="C55">
        <v>25.5</v>
      </c>
      <c r="D55">
        <v>29.6</v>
      </c>
      <c r="E55">
        <v>83.2</v>
      </c>
      <c r="F55">
        <v>0</v>
      </c>
    </row>
    <row r="56" spans="1:6" x14ac:dyDescent="0.25">
      <c r="A56">
        <v>1</v>
      </c>
      <c r="B56">
        <v>14.7</v>
      </c>
      <c r="C56">
        <v>20</v>
      </c>
      <c r="D56">
        <v>29.3</v>
      </c>
      <c r="E56">
        <v>94.4</v>
      </c>
      <c r="F56">
        <v>0</v>
      </c>
    </row>
    <row r="57" spans="1:6" x14ac:dyDescent="0.25">
      <c r="A57">
        <v>0</v>
      </c>
      <c r="B57">
        <v>13.8</v>
      </c>
      <c r="C57">
        <v>27.3</v>
      </c>
      <c r="D57">
        <v>29.6</v>
      </c>
      <c r="E57">
        <v>97.9</v>
      </c>
      <c r="F57">
        <v>0</v>
      </c>
    </row>
    <row r="58" spans="1:6" x14ac:dyDescent="0.25">
      <c r="A58">
        <v>1</v>
      </c>
      <c r="B58">
        <v>10.8</v>
      </c>
      <c r="C58">
        <v>16.8</v>
      </c>
      <c r="D58">
        <v>30.6</v>
      </c>
      <c r="E58">
        <v>79.599999999999994</v>
      </c>
      <c r="F58">
        <v>1</v>
      </c>
    </row>
    <row r="59" spans="1:6" x14ac:dyDescent="0.25">
      <c r="A59">
        <v>1</v>
      </c>
      <c r="B59">
        <v>13.8</v>
      </c>
      <c r="C59">
        <v>20.9</v>
      </c>
      <c r="D59">
        <v>31.2</v>
      </c>
      <c r="E59">
        <v>97.4</v>
      </c>
      <c r="F59">
        <v>0</v>
      </c>
    </row>
    <row r="60" spans="1:6" x14ac:dyDescent="0.25">
      <c r="A60">
        <v>0</v>
      </c>
      <c r="B60">
        <v>12.4</v>
      </c>
      <c r="C60">
        <v>20.8</v>
      </c>
      <c r="D60">
        <v>30.7</v>
      </c>
      <c r="E60">
        <v>98.2</v>
      </c>
      <c r="F60">
        <v>0</v>
      </c>
    </row>
    <row r="61" spans="1:6" x14ac:dyDescent="0.25">
      <c r="A61">
        <v>0</v>
      </c>
      <c r="B61">
        <v>12.4</v>
      </c>
      <c r="C61">
        <v>23</v>
      </c>
      <c r="D61">
        <v>32.200000000000003</v>
      </c>
      <c r="E61">
        <v>76.099999999999994</v>
      </c>
      <c r="F61">
        <v>0</v>
      </c>
    </row>
    <row r="62" spans="1:6" x14ac:dyDescent="0.25">
      <c r="A62">
        <v>1</v>
      </c>
      <c r="B62">
        <v>16.399999999999999</v>
      </c>
      <c r="C62">
        <v>18.7</v>
      </c>
      <c r="D62">
        <v>29.6</v>
      </c>
      <c r="E62">
        <v>96.4</v>
      </c>
      <c r="F62">
        <v>0</v>
      </c>
    </row>
    <row r="63" spans="1:6" x14ac:dyDescent="0.25">
      <c r="A63">
        <v>1</v>
      </c>
      <c r="B63">
        <v>10.4</v>
      </c>
      <c r="C63">
        <v>29.6</v>
      </c>
      <c r="D63">
        <v>28.3</v>
      </c>
      <c r="E63">
        <v>101</v>
      </c>
      <c r="F63">
        <v>1</v>
      </c>
    </row>
    <row r="64" spans="1:6" x14ac:dyDescent="0.25">
      <c r="A64">
        <v>1</v>
      </c>
      <c r="B64">
        <v>11.5</v>
      </c>
      <c r="C64">
        <v>26.1</v>
      </c>
      <c r="D64">
        <v>28.6</v>
      </c>
      <c r="E64">
        <v>91</v>
      </c>
      <c r="F64">
        <v>1</v>
      </c>
    </row>
    <row r="65" spans="1:6" x14ac:dyDescent="0.25">
      <c r="A65">
        <v>1</v>
      </c>
      <c r="B65">
        <v>11.1</v>
      </c>
      <c r="C65">
        <v>22.8</v>
      </c>
      <c r="D65">
        <v>28</v>
      </c>
      <c r="E65">
        <v>97.3</v>
      </c>
      <c r="F65">
        <v>1</v>
      </c>
    </row>
    <row r="66" spans="1:6" x14ac:dyDescent="0.25">
      <c r="A66">
        <v>0</v>
      </c>
      <c r="B66">
        <v>16.7</v>
      </c>
      <c r="C66">
        <v>23.4</v>
      </c>
      <c r="D66">
        <v>29.8</v>
      </c>
      <c r="E66">
        <v>92.5</v>
      </c>
      <c r="F66">
        <v>0</v>
      </c>
    </row>
    <row r="67" spans="1:6" x14ac:dyDescent="0.25">
      <c r="A67">
        <v>0</v>
      </c>
      <c r="B67">
        <v>10.4</v>
      </c>
      <c r="C67">
        <v>27.1</v>
      </c>
      <c r="D67">
        <v>29.8</v>
      </c>
      <c r="E67">
        <v>75.2</v>
      </c>
      <c r="F67">
        <v>1</v>
      </c>
    </row>
    <row r="68" spans="1:6" x14ac:dyDescent="0.25">
      <c r="A68">
        <v>0</v>
      </c>
      <c r="B68">
        <v>16.3</v>
      </c>
      <c r="C68">
        <v>28.6</v>
      </c>
      <c r="D68">
        <v>30.9</v>
      </c>
      <c r="E68">
        <v>99.9</v>
      </c>
      <c r="F68">
        <v>0</v>
      </c>
    </row>
    <row r="69" spans="1:6" x14ac:dyDescent="0.25">
      <c r="A69">
        <v>1</v>
      </c>
      <c r="B69">
        <v>11.5</v>
      </c>
      <c r="C69">
        <v>21.4</v>
      </c>
      <c r="D69">
        <v>32.5</v>
      </c>
      <c r="E69">
        <v>76.599999999999994</v>
      </c>
      <c r="F69">
        <v>1</v>
      </c>
    </row>
    <row r="70" spans="1:6" x14ac:dyDescent="0.25">
      <c r="A70">
        <v>0</v>
      </c>
      <c r="B70">
        <v>13.7</v>
      </c>
      <c r="C70">
        <v>17.100000000000001</v>
      </c>
      <c r="D70">
        <v>29.9</v>
      </c>
      <c r="E70">
        <v>78.400000000000006</v>
      </c>
      <c r="F70">
        <v>0</v>
      </c>
    </row>
    <row r="71" spans="1:6" x14ac:dyDescent="0.25">
      <c r="A71">
        <v>0</v>
      </c>
      <c r="B71">
        <v>11.2</v>
      </c>
      <c r="C71">
        <v>29.6</v>
      </c>
      <c r="D71">
        <v>30.3</v>
      </c>
      <c r="E71">
        <v>74</v>
      </c>
      <c r="F71">
        <v>1</v>
      </c>
    </row>
    <row r="72" spans="1:6" x14ac:dyDescent="0.25">
      <c r="A72">
        <v>1</v>
      </c>
      <c r="B72">
        <v>12.7</v>
      </c>
      <c r="C72">
        <v>23.6</v>
      </c>
      <c r="D72">
        <v>30.4</v>
      </c>
      <c r="E72">
        <v>69.8</v>
      </c>
      <c r="F72">
        <v>1</v>
      </c>
    </row>
    <row r="73" spans="1:6" x14ac:dyDescent="0.25">
      <c r="A73">
        <v>1</v>
      </c>
      <c r="B73">
        <v>11.2</v>
      </c>
      <c r="C73">
        <v>18.5</v>
      </c>
      <c r="D73">
        <v>29.3</v>
      </c>
      <c r="E73">
        <v>93.9</v>
      </c>
      <c r="F73">
        <v>1</v>
      </c>
    </row>
    <row r="74" spans="1:6" x14ac:dyDescent="0.25">
      <c r="A74">
        <v>1</v>
      </c>
      <c r="B74">
        <v>10.7</v>
      </c>
      <c r="C74">
        <v>21.3</v>
      </c>
      <c r="D74">
        <v>28.8</v>
      </c>
      <c r="E74">
        <v>78.3</v>
      </c>
      <c r="F74">
        <v>1</v>
      </c>
    </row>
    <row r="75" spans="1:6" x14ac:dyDescent="0.25">
      <c r="A75">
        <v>0</v>
      </c>
      <c r="B75">
        <v>12.1</v>
      </c>
      <c r="C75">
        <v>19.3</v>
      </c>
      <c r="D75">
        <v>30.3</v>
      </c>
      <c r="E75">
        <v>83.3</v>
      </c>
      <c r="F75">
        <v>0</v>
      </c>
    </row>
    <row r="76" spans="1:6" x14ac:dyDescent="0.25">
      <c r="A76">
        <v>1</v>
      </c>
      <c r="B76">
        <v>16.600000000000001</v>
      </c>
      <c r="C76">
        <v>21.4</v>
      </c>
      <c r="D76">
        <v>28.8</v>
      </c>
      <c r="E76">
        <v>78.400000000000006</v>
      </c>
      <c r="F76">
        <v>0</v>
      </c>
    </row>
    <row r="77" spans="1:6" x14ac:dyDescent="0.25">
      <c r="A77">
        <v>0</v>
      </c>
      <c r="B77">
        <v>13.2</v>
      </c>
      <c r="C77">
        <v>20.2</v>
      </c>
      <c r="D77">
        <v>28.5</v>
      </c>
      <c r="E77">
        <v>85.2</v>
      </c>
      <c r="F77">
        <v>0</v>
      </c>
    </row>
    <row r="78" spans="1:6" x14ac:dyDescent="0.25">
      <c r="A78">
        <v>0</v>
      </c>
      <c r="B78">
        <v>14.4</v>
      </c>
      <c r="C78">
        <v>29.8</v>
      </c>
      <c r="D78">
        <v>31.6</v>
      </c>
      <c r="E78">
        <v>92.4</v>
      </c>
      <c r="F78">
        <v>0</v>
      </c>
    </row>
    <row r="79" spans="1:6" x14ac:dyDescent="0.25">
      <c r="A79">
        <v>1</v>
      </c>
      <c r="B79">
        <v>13.7</v>
      </c>
      <c r="C79">
        <v>18.7</v>
      </c>
      <c r="D79">
        <v>30.3</v>
      </c>
      <c r="E79">
        <v>69.400000000000006</v>
      </c>
      <c r="F79">
        <v>0</v>
      </c>
    </row>
    <row r="80" spans="1:6" x14ac:dyDescent="0.25">
      <c r="A80">
        <v>1</v>
      </c>
      <c r="B80">
        <v>10.7</v>
      </c>
      <c r="C80">
        <v>19</v>
      </c>
      <c r="D80">
        <v>32.200000000000003</v>
      </c>
      <c r="E80">
        <v>77.099999999999994</v>
      </c>
      <c r="F80">
        <v>1</v>
      </c>
    </row>
    <row r="81" spans="1:6" x14ac:dyDescent="0.25">
      <c r="A81">
        <v>0</v>
      </c>
      <c r="B81">
        <v>16.3</v>
      </c>
      <c r="C81">
        <v>21.6</v>
      </c>
      <c r="D81">
        <v>32.299999999999997</v>
      </c>
      <c r="E81">
        <v>98.4</v>
      </c>
      <c r="F81">
        <v>0</v>
      </c>
    </row>
    <row r="82" spans="1:6" x14ac:dyDescent="0.25">
      <c r="A82">
        <v>0</v>
      </c>
      <c r="B82">
        <v>13.2</v>
      </c>
      <c r="C82">
        <v>23.5</v>
      </c>
      <c r="D82">
        <v>31.3</v>
      </c>
      <c r="E82">
        <v>85.9</v>
      </c>
      <c r="F82">
        <v>0</v>
      </c>
    </row>
    <row r="83" spans="1:6" x14ac:dyDescent="0.25">
      <c r="A83">
        <v>1</v>
      </c>
      <c r="B83">
        <v>16.8</v>
      </c>
      <c r="C83">
        <v>19.2</v>
      </c>
      <c r="D83">
        <v>28.1</v>
      </c>
      <c r="E83">
        <v>100.8</v>
      </c>
      <c r="F83">
        <v>0</v>
      </c>
    </row>
    <row r="84" spans="1:6" x14ac:dyDescent="0.25">
      <c r="A84">
        <v>1</v>
      </c>
      <c r="B84">
        <v>16.5</v>
      </c>
      <c r="C84">
        <v>26.4</v>
      </c>
      <c r="D84">
        <v>27.9</v>
      </c>
      <c r="E84">
        <v>101.5</v>
      </c>
      <c r="F84">
        <v>0</v>
      </c>
    </row>
    <row r="85" spans="1:6" x14ac:dyDescent="0.25">
      <c r="A85">
        <v>0</v>
      </c>
      <c r="B85">
        <v>11.8</v>
      </c>
      <c r="C85">
        <v>18.600000000000001</v>
      </c>
      <c r="D85">
        <v>29.4</v>
      </c>
      <c r="E85">
        <v>80.2</v>
      </c>
      <c r="F85">
        <v>1</v>
      </c>
    </row>
    <row r="86" spans="1:6" x14ac:dyDescent="0.25">
      <c r="A86">
        <v>1</v>
      </c>
      <c r="B86">
        <v>12.8</v>
      </c>
      <c r="C86">
        <v>16.3</v>
      </c>
      <c r="D86">
        <v>31.1</v>
      </c>
      <c r="E86">
        <v>100.9</v>
      </c>
      <c r="F86">
        <v>1</v>
      </c>
    </row>
    <row r="87" spans="1:6" x14ac:dyDescent="0.25">
      <c r="A87">
        <v>0</v>
      </c>
      <c r="B87">
        <v>11.1</v>
      </c>
      <c r="C87">
        <v>24.3</v>
      </c>
      <c r="D87">
        <v>32.5</v>
      </c>
      <c r="E87">
        <v>91</v>
      </c>
      <c r="F87">
        <v>1</v>
      </c>
    </row>
    <row r="88" spans="1:6" x14ac:dyDescent="0.25">
      <c r="A88">
        <v>0</v>
      </c>
      <c r="B88">
        <v>15.2</v>
      </c>
      <c r="C88">
        <v>20.6</v>
      </c>
      <c r="D88">
        <v>31.9</v>
      </c>
      <c r="E88">
        <v>99.7</v>
      </c>
      <c r="F88">
        <v>0</v>
      </c>
    </row>
    <row r="89" spans="1:6" x14ac:dyDescent="0.25">
      <c r="A89">
        <v>0</v>
      </c>
      <c r="B89">
        <v>13.5</v>
      </c>
      <c r="C89">
        <v>19</v>
      </c>
      <c r="D89">
        <v>28.8</v>
      </c>
      <c r="E89">
        <v>82.3</v>
      </c>
      <c r="F89">
        <v>0</v>
      </c>
    </row>
    <row r="90" spans="1:6" x14ac:dyDescent="0.25">
      <c r="A90">
        <v>1</v>
      </c>
      <c r="B90">
        <v>10.9</v>
      </c>
      <c r="C90">
        <v>30</v>
      </c>
      <c r="D90">
        <v>29.8</v>
      </c>
      <c r="E90">
        <v>98.5</v>
      </c>
      <c r="F90">
        <v>1</v>
      </c>
    </row>
    <row r="91" spans="1:6" x14ac:dyDescent="0.25">
      <c r="A91">
        <v>0</v>
      </c>
      <c r="B91">
        <v>13.4</v>
      </c>
      <c r="C91">
        <v>18.7</v>
      </c>
      <c r="D91">
        <v>31.9</v>
      </c>
      <c r="E91">
        <v>73.2</v>
      </c>
      <c r="F91">
        <v>0</v>
      </c>
    </row>
    <row r="92" spans="1:6" x14ac:dyDescent="0.25">
      <c r="A92">
        <v>1</v>
      </c>
      <c r="B92">
        <v>16</v>
      </c>
      <c r="C92">
        <v>28.8</v>
      </c>
      <c r="D92">
        <v>28.4</v>
      </c>
      <c r="E92">
        <v>86.4</v>
      </c>
      <c r="F92">
        <v>0</v>
      </c>
    </row>
    <row r="93" spans="1:6" x14ac:dyDescent="0.25">
      <c r="A93">
        <v>0</v>
      </c>
      <c r="B93">
        <v>15.2</v>
      </c>
      <c r="C93">
        <v>27</v>
      </c>
      <c r="D93">
        <v>32.4</v>
      </c>
      <c r="E93">
        <v>71.599999999999994</v>
      </c>
      <c r="F93">
        <v>0</v>
      </c>
    </row>
    <row r="94" spans="1:6" x14ac:dyDescent="0.25">
      <c r="A94">
        <v>1</v>
      </c>
      <c r="B94">
        <v>11.4</v>
      </c>
      <c r="C94">
        <v>21</v>
      </c>
      <c r="D94">
        <v>31.7</v>
      </c>
      <c r="E94">
        <v>88.9</v>
      </c>
      <c r="F94">
        <v>1</v>
      </c>
    </row>
    <row r="95" spans="1:6" x14ac:dyDescent="0.25">
      <c r="A95">
        <v>0</v>
      </c>
      <c r="B95">
        <v>16.5</v>
      </c>
      <c r="C95">
        <v>27.6</v>
      </c>
      <c r="D95">
        <v>29.3</v>
      </c>
      <c r="E95">
        <v>77.8</v>
      </c>
      <c r="F95">
        <v>0</v>
      </c>
    </row>
    <row r="96" spans="1:6" x14ac:dyDescent="0.25">
      <c r="A96">
        <v>1</v>
      </c>
      <c r="B96">
        <v>11.6</v>
      </c>
      <c r="C96">
        <v>24.3</v>
      </c>
      <c r="D96">
        <v>29.1</v>
      </c>
      <c r="E96">
        <v>85.7</v>
      </c>
      <c r="F96">
        <v>1</v>
      </c>
    </row>
    <row r="97" spans="1:6" x14ac:dyDescent="0.25">
      <c r="A97">
        <v>0</v>
      </c>
      <c r="B97">
        <v>13.7</v>
      </c>
      <c r="C97">
        <v>19.5</v>
      </c>
      <c r="D97">
        <v>31.7</v>
      </c>
      <c r="E97">
        <v>77.099999999999994</v>
      </c>
      <c r="F97">
        <v>0</v>
      </c>
    </row>
    <row r="98" spans="1:6" x14ac:dyDescent="0.25">
      <c r="A98">
        <v>1</v>
      </c>
      <c r="B98">
        <v>12.9</v>
      </c>
      <c r="C98">
        <v>27.4</v>
      </c>
      <c r="D98">
        <v>28.2</v>
      </c>
      <c r="E98">
        <v>78.8</v>
      </c>
      <c r="F98">
        <v>1</v>
      </c>
    </row>
    <row r="99" spans="1:6" x14ac:dyDescent="0.25">
      <c r="A99">
        <v>1</v>
      </c>
      <c r="B99">
        <v>11.8</v>
      </c>
      <c r="C99">
        <v>22</v>
      </c>
      <c r="D99">
        <v>29.3</v>
      </c>
      <c r="E99">
        <v>71.099999999999994</v>
      </c>
      <c r="F99">
        <v>1</v>
      </c>
    </row>
    <row r="100" spans="1:6" x14ac:dyDescent="0.25">
      <c r="A100">
        <v>0</v>
      </c>
      <c r="B100">
        <v>15.5</v>
      </c>
      <c r="C100">
        <v>16.899999999999999</v>
      </c>
      <c r="D100">
        <v>31.2</v>
      </c>
      <c r="E100">
        <v>95.9</v>
      </c>
      <c r="F100">
        <v>0</v>
      </c>
    </row>
    <row r="101" spans="1:6" x14ac:dyDescent="0.25">
      <c r="A101">
        <v>1</v>
      </c>
      <c r="B101">
        <v>16.7</v>
      </c>
      <c r="C101">
        <v>24.8</v>
      </c>
      <c r="D101">
        <v>29.6</v>
      </c>
      <c r="E101">
        <v>93.4</v>
      </c>
      <c r="F101">
        <v>0</v>
      </c>
    </row>
    <row r="102" spans="1:6" x14ac:dyDescent="0.25">
      <c r="A102">
        <v>1</v>
      </c>
      <c r="B102">
        <v>14.5</v>
      </c>
      <c r="C102">
        <v>25.2</v>
      </c>
      <c r="D102">
        <v>31.5</v>
      </c>
      <c r="E102">
        <v>91.7</v>
      </c>
      <c r="F102">
        <v>0</v>
      </c>
    </row>
    <row r="103" spans="1:6" x14ac:dyDescent="0.25">
      <c r="A103">
        <v>0</v>
      </c>
      <c r="B103">
        <v>10.4</v>
      </c>
      <c r="C103">
        <v>20</v>
      </c>
      <c r="D103">
        <v>32.200000000000003</v>
      </c>
      <c r="E103">
        <v>101.2</v>
      </c>
      <c r="F103">
        <v>1</v>
      </c>
    </row>
    <row r="104" spans="1:6" x14ac:dyDescent="0.25">
      <c r="A104">
        <v>1</v>
      </c>
      <c r="B104">
        <v>10.4</v>
      </c>
      <c r="C104">
        <v>17.100000000000001</v>
      </c>
      <c r="D104">
        <v>31.4</v>
      </c>
      <c r="E104">
        <v>90.6</v>
      </c>
      <c r="F104">
        <v>1</v>
      </c>
    </row>
    <row r="105" spans="1:6" x14ac:dyDescent="0.25">
      <c r="A105">
        <v>1</v>
      </c>
      <c r="B105">
        <v>12.8</v>
      </c>
      <c r="C105">
        <v>20.3</v>
      </c>
      <c r="D105">
        <v>31.1</v>
      </c>
      <c r="E105">
        <v>100.1</v>
      </c>
      <c r="F105">
        <v>1</v>
      </c>
    </row>
    <row r="106" spans="1:6" x14ac:dyDescent="0.25">
      <c r="A106">
        <v>1</v>
      </c>
      <c r="B106">
        <v>14.4</v>
      </c>
      <c r="C106">
        <v>18.399999999999999</v>
      </c>
      <c r="D106">
        <v>32.1</v>
      </c>
      <c r="E106">
        <v>95.6</v>
      </c>
      <c r="F106">
        <v>0</v>
      </c>
    </row>
    <row r="107" spans="1:6" x14ac:dyDescent="0.25">
      <c r="A107">
        <v>1</v>
      </c>
      <c r="B107">
        <v>11.7</v>
      </c>
      <c r="C107">
        <v>18.399999999999999</v>
      </c>
      <c r="D107">
        <v>32.1</v>
      </c>
      <c r="E107">
        <v>74.8</v>
      </c>
      <c r="F107">
        <v>1</v>
      </c>
    </row>
    <row r="108" spans="1:6" x14ac:dyDescent="0.25">
      <c r="A108">
        <v>0</v>
      </c>
      <c r="B108">
        <v>14.8</v>
      </c>
      <c r="C108">
        <v>20.399999999999999</v>
      </c>
      <c r="D108">
        <v>28.5</v>
      </c>
      <c r="E108">
        <v>91.1</v>
      </c>
      <c r="F108">
        <v>0</v>
      </c>
    </row>
    <row r="109" spans="1:6" x14ac:dyDescent="0.25">
      <c r="A109">
        <v>1</v>
      </c>
      <c r="B109">
        <v>11.9</v>
      </c>
      <c r="C109">
        <v>22.8</v>
      </c>
      <c r="D109">
        <v>32.1</v>
      </c>
      <c r="E109">
        <v>101.2</v>
      </c>
      <c r="F109">
        <v>1</v>
      </c>
    </row>
    <row r="110" spans="1:6" x14ac:dyDescent="0.25">
      <c r="A110">
        <v>1</v>
      </c>
      <c r="B110">
        <v>11.5</v>
      </c>
      <c r="C110">
        <v>24.1</v>
      </c>
      <c r="D110">
        <v>30.8</v>
      </c>
      <c r="E110">
        <v>74.7</v>
      </c>
      <c r="F110">
        <v>1</v>
      </c>
    </row>
    <row r="111" spans="1:6" x14ac:dyDescent="0.25">
      <c r="A111">
        <v>0</v>
      </c>
      <c r="B111">
        <v>13.3</v>
      </c>
      <c r="C111">
        <v>16.399999999999999</v>
      </c>
      <c r="D111">
        <v>29.1</v>
      </c>
      <c r="E111">
        <v>70</v>
      </c>
      <c r="F111">
        <v>0</v>
      </c>
    </row>
    <row r="112" spans="1:6" x14ac:dyDescent="0.25">
      <c r="A112">
        <v>1</v>
      </c>
      <c r="B112">
        <v>13.1</v>
      </c>
      <c r="C112">
        <v>25.6</v>
      </c>
      <c r="D112">
        <v>28.4</v>
      </c>
      <c r="E112">
        <v>77.5</v>
      </c>
      <c r="F112">
        <v>1</v>
      </c>
    </row>
    <row r="113" spans="1:6" x14ac:dyDescent="0.25">
      <c r="A113">
        <v>0</v>
      </c>
      <c r="B113">
        <v>15.5</v>
      </c>
      <c r="C113">
        <v>21.9</v>
      </c>
      <c r="D113">
        <v>31.4</v>
      </c>
      <c r="E113">
        <v>100.5</v>
      </c>
      <c r="F113">
        <v>0</v>
      </c>
    </row>
    <row r="114" spans="1:6" x14ac:dyDescent="0.25">
      <c r="A114">
        <v>0</v>
      </c>
      <c r="B114">
        <v>15.9</v>
      </c>
      <c r="C114">
        <v>28.7</v>
      </c>
      <c r="D114">
        <v>31</v>
      </c>
      <c r="E114">
        <v>81.599999999999994</v>
      </c>
      <c r="F114">
        <v>0</v>
      </c>
    </row>
    <row r="115" spans="1:6" x14ac:dyDescent="0.25">
      <c r="A115">
        <v>1</v>
      </c>
      <c r="B115">
        <v>15.3</v>
      </c>
      <c r="C115">
        <v>25.3</v>
      </c>
      <c r="D115">
        <v>32.200000000000003</v>
      </c>
      <c r="E115">
        <v>96.6</v>
      </c>
      <c r="F115">
        <v>0</v>
      </c>
    </row>
    <row r="116" spans="1:6" x14ac:dyDescent="0.25">
      <c r="A116">
        <v>1</v>
      </c>
      <c r="B116">
        <v>16.3</v>
      </c>
      <c r="C116">
        <v>20.9</v>
      </c>
      <c r="D116">
        <v>31.2</v>
      </c>
      <c r="E116">
        <v>72.5</v>
      </c>
      <c r="F116">
        <v>0</v>
      </c>
    </row>
    <row r="117" spans="1:6" x14ac:dyDescent="0.25">
      <c r="A117">
        <v>1</v>
      </c>
      <c r="B117">
        <v>16.899999999999999</v>
      </c>
      <c r="C117">
        <v>24.2</v>
      </c>
      <c r="D117">
        <v>32.1</v>
      </c>
      <c r="E117">
        <v>92.5</v>
      </c>
      <c r="F117">
        <v>0</v>
      </c>
    </row>
    <row r="118" spans="1:6" x14ac:dyDescent="0.25">
      <c r="A118">
        <v>0</v>
      </c>
      <c r="B118">
        <v>12.8</v>
      </c>
      <c r="C118">
        <v>22.9</v>
      </c>
      <c r="D118">
        <v>28.8</v>
      </c>
      <c r="E118">
        <v>72</v>
      </c>
      <c r="F118">
        <v>0</v>
      </c>
    </row>
    <row r="119" spans="1:6" x14ac:dyDescent="0.25">
      <c r="A119">
        <v>0</v>
      </c>
      <c r="B119">
        <v>16.100000000000001</v>
      </c>
      <c r="C119">
        <v>20.8</v>
      </c>
      <c r="D119">
        <v>31.2</v>
      </c>
      <c r="E119">
        <v>79.099999999999994</v>
      </c>
      <c r="F119">
        <v>0</v>
      </c>
    </row>
    <row r="120" spans="1:6" x14ac:dyDescent="0.25">
      <c r="A120">
        <v>1</v>
      </c>
      <c r="B120">
        <v>16.5</v>
      </c>
      <c r="C120">
        <v>21.9</v>
      </c>
      <c r="D120">
        <v>30.7</v>
      </c>
      <c r="E120">
        <v>71.099999999999994</v>
      </c>
      <c r="F120">
        <v>0</v>
      </c>
    </row>
    <row r="121" spans="1:6" x14ac:dyDescent="0.25">
      <c r="A121">
        <v>0</v>
      </c>
      <c r="B121">
        <v>13.4</v>
      </c>
      <c r="C121">
        <v>27.9</v>
      </c>
      <c r="D121">
        <v>29</v>
      </c>
      <c r="E121">
        <v>84.4</v>
      </c>
      <c r="F121">
        <v>0</v>
      </c>
    </row>
    <row r="122" spans="1:6" x14ac:dyDescent="0.25">
      <c r="A122">
        <v>1</v>
      </c>
      <c r="B122">
        <v>16.8</v>
      </c>
      <c r="C122">
        <v>19.899999999999999</v>
      </c>
      <c r="D122">
        <v>32.4</v>
      </c>
      <c r="E122">
        <v>90.9</v>
      </c>
      <c r="F122">
        <v>0</v>
      </c>
    </row>
    <row r="123" spans="1:6" x14ac:dyDescent="0.25">
      <c r="A123">
        <v>0</v>
      </c>
      <c r="B123">
        <v>12.2</v>
      </c>
      <c r="C123">
        <v>23.3</v>
      </c>
      <c r="D123">
        <v>30.4</v>
      </c>
      <c r="E123">
        <v>100.2</v>
      </c>
      <c r="F123">
        <v>0</v>
      </c>
    </row>
    <row r="124" spans="1:6" x14ac:dyDescent="0.25">
      <c r="A124">
        <v>1</v>
      </c>
      <c r="B124">
        <v>15.4</v>
      </c>
      <c r="C124">
        <v>23</v>
      </c>
      <c r="D124">
        <v>30.3</v>
      </c>
      <c r="E124">
        <v>87.7</v>
      </c>
      <c r="F124">
        <v>0</v>
      </c>
    </row>
    <row r="125" spans="1:6" x14ac:dyDescent="0.25">
      <c r="A125">
        <v>0</v>
      </c>
      <c r="B125">
        <v>10.7</v>
      </c>
      <c r="C125">
        <v>27.9</v>
      </c>
      <c r="D125">
        <v>31.3</v>
      </c>
      <c r="E125">
        <v>86.4</v>
      </c>
      <c r="F125">
        <v>1</v>
      </c>
    </row>
    <row r="126" spans="1:6" x14ac:dyDescent="0.25">
      <c r="A126">
        <v>0</v>
      </c>
      <c r="B126">
        <v>12.6</v>
      </c>
      <c r="C126">
        <v>18.3</v>
      </c>
      <c r="D126">
        <v>31.7</v>
      </c>
      <c r="E126">
        <v>82.8</v>
      </c>
      <c r="F126">
        <v>0</v>
      </c>
    </row>
    <row r="127" spans="1:6" x14ac:dyDescent="0.25">
      <c r="A127">
        <v>1</v>
      </c>
      <c r="B127">
        <v>14.3</v>
      </c>
      <c r="C127">
        <v>17.5</v>
      </c>
      <c r="D127">
        <v>30.6</v>
      </c>
      <c r="E127">
        <v>75</v>
      </c>
      <c r="F127">
        <v>0</v>
      </c>
    </row>
    <row r="128" spans="1:6" x14ac:dyDescent="0.25">
      <c r="A128">
        <v>1</v>
      </c>
      <c r="B128">
        <v>11.7</v>
      </c>
      <c r="C128">
        <v>24.5</v>
      </c>
      <c r="D128">
        <v>31.1</v>
      </c>
      <c r="E128">
        <v>86.1</v>
      </c>
      <c r="F128">
        <v>1</v>
      </c>
    </row>
    <row r="129" spans="1:6" x14ac:dyDescent="0.25">
      <c r="A129">
        <v>1</v>
      </c>
      <c r="B129">
        <v>13.3</v>
      </c>
      <c r="C129">
        <v>25.1</v>
      </c>
      <c r="D129">
        <v>30.6</v>
      </c>
      <c r="E129">
        <v>73.7</v>
      </c>
      <c r="F129">
        <v>1</v>
      </c>
    </row>
    <row r="130" spans="1:6" x14ac:dyDescent="0.25">
      <c r="A130">
        <v>0</v>
      </c>
      <c r="B130">
        <v>16.3</v>
      </c>
      <c r="C130">
        <v>19.7</v>
      </c>
      <c r="D130">
        <v>31.6</v>
      </c>
      <c r="E130">
        <v>75.400000000000006</v>
      </c>
      <c r="F130">
        <v>0</v>
      </c>
    </row>
    <row r="131" spans="1:6" x14ac:dyDescent="0.25">
      <c r="A131">
        <v>0</v>
      </c>
      <c r="B131">
        <v>12.2</v>
      </c>
      <c r="C131">
        <v>17.600000000000001</v>
      </c>
      <c r="D131">
        <v>30.7</v>
      </c>
      <c r="E131">
        <v>88.8</v>
      </c>
      <c r="F131">
        <v>0</v>
      </c>
    </row>
    <row r="132" spans="1:6" x14ac:dyDescent="0.25">
      <c r="A132">
        <v>0</v>
      </c>
      <c r="B132">
        <v>12.6</v>
      </c>
      <c r="C132">
        <v>21.5</v>
      </c>
      <c r="D132">
        <v>31.6</v>
      </c>
      <c r="E132">
        <v>99.7</v>
      </c>
      <c r="F132">
        <v>0</v>
      </c>
    </row>
    <row r="133" spans="1:6" x14ac:dyDescent="0.25">
      <c r="A133">
        <v>1</v>
      </c>
      <c r="B133">
        <v>13.9</v>
      </c>
      <c r="C133">
        <v>20.6</v>
      </c>
      <c r="D133">
        <v>29.2</v>
      </c>
      <c r="E133">
        <v>98.5</v>
      </c>
      <c r="F133">
        <v>0</v>
      </c>
    </row>
    <row r="134" spans="1:6" x14ac:dyDescent="0.25">
      <c r="A134">
        <v>0</v>
      </c>
      <c r="B134">
        <v>11.2</v>
      </c>
      <c r="C134">
        <v>16.600000000000001</v>
      </c>
      <c r="D134">
        <v>30.2</v>
      </c>
      <c r="E134">
        <v>79.8</v>
      </c>
      <c r="F134">
        <v>1</v>
      </c>
    </row>
    <row r="135" spans="1:6" x14ac:dyDescent="0.25">
      <c r="A135">
        <v>1</v>
      </c>
      <c r="B135">
        <v>16.5</v>
      </c>
      <c r="C135">
        <v>18.5</v>
      </c>
      <c r="D135">
        <v>28.4</v>
      </c>
      <c r="E135">
        <v>91.6</v>
      </c>
      <c r="F135">
        <v>0</v>
      </c>
    </row>
    <row r="136" spans="1:6" x14ac:dyDescent="0.25">
      <c r="A136">
        <v>1</v>
      </c>
      <c r="B136">
        <v>11</v>
      </c>
      <c r="C136">
        <v>25</v>
      </c>
      <c r="D136">
        <v>30.4</v>
      </c>
      <c r="E136">
        <v>81.400000000000006</v>
      </c>
      <c r="F136">
        <v>1</v>
      </c>
    </row>
    <row r="137" spans="1:6" x14ac:dyDescent="0.25">
      <c r="A137">
        <v>1</v>
      </c>
      <c r="B137">
        <v>13</v>
      </c>
      <c r="C137">
        <v>28.6</v>
      </c>
      <c r="D137">
        <v>32.200000000000003</v>
      </c>
      <c r="E137">
        <v>69.8</v>
      </c>
      <c r="F137">
        <v>1</v>
      </c>
    </row>
    <row r="138" spans="1:6" x14ac:dyDescent="0.25">
      <c r="A138">
        <v>0</v>
      </c>
      <c r="B138">
        <v>16.899999999999999</v>
      </c>
      <c r="C138">
        <v>16.7</v>
      </c>
      <c r="D138">
        <v>30</v>
      </c>
      <c r="E138">
        <v>78.400000000000006</v>
      </c>
      <c r="F138">
        <v>0</v>
      </c>
    </row>
    <row r="139" spans="1:6" x14ac:dyDescent="0.25">
      <c r="A139">
        <v>1</v>
      </c>
      <c r="B139">
        <v>13.7</v>
      </c>
      <c r="C139">
        <v>24.1</v>
      </c>
      <c r="D139">
        <v>27.8</v>
      </c>
      <c r="E139">
        <v>86.3</v>
      </c>
      <c r="F139">
        <v>0</v>
      </c>
    </row>
    <row r="140" spans="1:6" x14ac:dyDescent="0.25">
      <c r="A140">
        <v>1</v>
      </c>
      <c r="B140">
        <v>16.8</v>
      </c>
      <c r="C140">
        <v>24.3</v>
      </c>
      <c r="D140">
        <v>30.5</v>
      </c>
      <c r="E140">
        <v>90.7</v>
      </c>
      <c r="F140">
        <v>0</v>
      </c>
    </row>
    <row r="141" spans="1:6" x14ac:dyDescent="0.25">
      <c r="A141">
        <v>0</v>
      </c>
      <c r="B141">
        <v>13.4</v>
      </c>
      <c r="C141">
        <v>21.5</v>
      </c>
      <c r="D141">
        <v>30.4</v>
      </c>
      <c r="E141">
        <v>92.7</v>
      </c>
      <c r="F141">
        <v>0</v>
      </c>
    </row>
    <row r="142" spans="1:6" x14ac:dyDescent="0.25">
      <c r="A142">
        <v>1</v>
      </c>
      <c r="B142">
        <v>13.7</v>
      </c>
      <c r="C142">
        <v>23.5</v>
      </c>
      <c r="D142">
        <v>29</v>
      </c>
      <c r="E142">
        <v>70.599999999999994</v>
      </c>
      <c r="F142">
        <v>0</v>
      </c>
    </row>
    <row r="143" spans="1:6" x14ac:dyDescent="0.25">
      <c r="A143">
        <v>0</v>
      </c>
      <c r="B143">
        <v>11.6</v>
      </c>
      <c r="C143">
        <v>17.5</v>
      </c>
      <c r="D143">
        <v>31.6</v>
      </c>
      <c r="E143">
        <v>70.5</v>
      </c>
      <c r="F143">
        <v>1</v>
      </c>
    </row>
    <row r="144" spans="1:6" x14ac:dyDescent="0.25">
      <c r="A144">
        <v>1</v>
      </c>
      <c r="B144">
        <v>13.7</v>
      </c>
      <c r="C144">
        <v>18</v>
      </c>
      <c r="D144">
        <v>31.1</v>
      </c>
      <c r="E144">
        <v>89.2</v>
      </c>
      <c r="F144">
        <v>0</v>
      </c>
    </row>
    <row r="145" spans="1:6" x14ac:dyDescent="0.25">
      <c r="A145">
        <v>0</v>
      </c>
      <c r="B145">
        <v>13.1</v>
      </c>
      <c r="C145">
        <v>20</v>
      </c>
      <c r="D145">
        <v>29.7</v>
      </c>
      <c r="E145">
        <v>89.7</v>
      </c>
      <c r="F145">
        <v>0</v>
      </c>
    </row>
    <row r="146" spans="1:6" x14ac:dyDescent="0.25">
      <c r="A146">
        <v>1</v>
      </c>
      <c r="B146">
        <v>11.1</v>
      </c>
      <c r="C146">
        <v>22.1</v>
      </c>
      <c r="D146">
        <v>29.4</v>
      </c>
      <c r="E146">
        <v>97</v>
      </c>
      <c r="F146">
        <v>1</v>
      </c>
    </row>
    <row r="147" spans="1:6" x14ac:dyDescent="0.25">
      <c r="A147">
        <v>1</v>
      </c>
      <c r="B147">
        <v>15.3</v>
      </c>
      <c r="C147">
        <v>18.100000000000001</v>
      </c>
      <c r="D147">
        <v>31.4</v>
      </c>
      <c r="E147">
        <v>83.5</v>
      </c>
      <c r="F147">
        <v>0</v>
      </c>
    </row>
    <row r="148" spans="1:6" x14ac:dyDescent="0.25">
      <c r="A148">
        <v>0</v>
      </c>
      <c r="B148">
        <v>15.8</v>
      </c>
      <c r="C148">
        <v>28.6</v>
      </c>
      <c r="D148">
        <v>31.1</v>
      </c>
      <c r="E148">
        <v>96.6</v>
      </c>
      <c r="F148">
        <v>0</v>
      </c>
    </row>
    <row r="149" spans="1:6" x14ac:dyDescent="0.25">
      <c r="A149">
        <v>1</v>
      </c>
      <c r="B149">
        <v>15.4</v>
      </c>
      <c r="C149">
        <v>18.5</v>
      </c>
      <c r="D149">
        <v>31.5</v>
      </c>
      <c r="E149">
        <v>72.2</v>
      </c>
      <c r="F149">
        <v>0</v>
      </c>
    </row>
    <row r="150" spans="1:6" x14ac:dyDescent="0.25">
      <c r="A150">
        <v>0</v>
      </c>
      <c r="B150">
        <v>14.6</v>
      </c>
      <c r="C150">
        <v>22.7</v>
      </c>
      <c r="D150">
        <v>28.1</v>
      </c>
      <c r="E150">
        <v>93.8</v>
      </c>
      <c r="F150">
        <v>0</v>
      </c>
    </row>
    <row r="151" spans="1:6" x14ac:dyDescent="0.25">
      <c r="A151">
        <v>1</v>
      </c>
      <c r="B151">
        <v>16.399999999999999</v>
      </c>
      <c r="C151">
        <v>24.4</v>
      </c>
      <c r="D151">
        <v>30.6</v>
      </c>
      <c r="E151">
        <v>77.400000000000006</v>
      </c>
      <c r="F151">
        <v>0</v>
      </c>
    </row>
    <row r="152" spans="1:6" x14ac:dyDescent="0.25">
      <c r="A152">
        <v>1</v>
      </c>
      <c r="B152">
        <v>12.4</v>
      </c>
      <c r="C152">
        <v>19</v>
      </c>
      <c r="D152">
        <v>31.9</v>
      </c>
      <c r="E152">
        <v>73.7</v>
      </c>
      <c r="F152">
        <v>1</v>
      </c>
    </row>
    <row r="153" spans="1:6" x14ac:dyDescent="0.25">
      <c r="A153">
        <v>1</v>
      </c>
      <c r="B153">
        <v>12.7</v>
      </c>
      <c r="C153">
        <v>29</v>
      </c>
      <c r="D153">
        <v>31.6</v>
      </c>
      <c r="E153">
        <v>78.599999999999994</v>
      </c>
      <c r="F153">
        <v>1</v>
      </c>
    </row>
    <row r="154" spans="1:6" x14ac:dyDescent="0.25">
      <c r="A154">
        <v>1</v>
      </c>
      <c r="B154">
        <v>10.9</v>
      </c>
      <c r="C154">
        <v>29.4</v>
      </c>
      <c r="D154">
        <v>31.1</v>
      </c>
      <c r="E154">
        <v>91.7</v>
      </c>
      <c r="F154">
        <v>1</v>
      </c>
    </row>
    <row r="155" spans="1:6" x14ac:dyDescent="0.25">
      <c r="A155">
        <v>1</v>
      </c>
      <c r="B155">
        <v>11.5</v>
      </c>
      <c r="C155">
        <v>21.4</v>
      </c>
      <c r="D155">
        <v>28.7</v>
      </c>
      <c r="E155">
        <v>98.6</v>
      </c>
      <c r="F155">
        <v>1</v>
      </c>
    </row>
    <row r="156" spans="1:6" x14ac:dyDescent="0.25">
      <c r="A156">
        <v>1</v>
      </c>
      <c r="B156">
        <v>12.8</v>
      </c>
      <c r="C156">
        <v>17.8</v>
      </c>
      <c r="D156">
        <v>29.1</v>
      </c>
      <c r="E156">
        <v>79.400000000000006</v>
      </c>
      <c r="F156">
        <v>1</v>
      </c>
    </row>
    <row r="157" spans="1:6" x14ac:dyDescent="0.25">
      <c r="A157">
        <v>1</v>
      </c>
      <c r="B157">
        <v>16.100000000000001</v>
      </c>
      <c r="C157">
        <v>21.6</v>
      </c>
      <c r="D157">
        <v>28.8</v>
      </c>
      <c r="E157">
        <v>96.1</v>
      </c>
      <c r="F157">
        <v>0</v>
      </c>
    </row>
    <row r="158" spans="1:6" x14ac:dyDescent="0.25">
      <c r="A158">
        <v>0</v>
      </c>
      <c r="B158">
        <v>13.1</v>
      </c>
      <c r="C158">
        <v>21.6</v>
      </c>
      <c r="D158">
        <v>29.2</v>
      </c>
      <c r="E158">
        <v>89.6</v>
      </c>
      <c r="F158">
        <v>0</v>
      </c>
    </row>
    <row r="159" spans="1:6" x14ac:dyDescent="0.25">
      <c r="A159">
        <v>0</v>
      </c>
      <c r="B159">
        <v>13.9</v>
      </c>
      <c r="C159">
        <v>29.7</v>
      </c>
      <c r="D159">
        <v>28.4</v>
      </c>
      <c r="E159">
        <v>70.7</v>
      </c>
      <c r="F159">
        <v>0</v>
      </c>
    </row>
    <row r="160" spans="1:6" x14ac:dyDescent="0.25">
      <c r="A160">
        <v>1</v>
      </c>
      <c r="B160">
        <v>13.9</v>
      </c>
      <c r="C160">
        <v>25.9</v>
      </c>
      <c r="D160">
        <v>31.3</v>
      </c>
      <c r="E160">
        <v>71.2</v>
      </c>
      <c r="F160">
        <v>0</v>
      </c>
    </row>
    <row r="161" spans="1:6" x14ac:dyDescent="0.25">
      <c r="A161">
        <v>1</v>
      </c>
      <c r="B161">
        <v>15.7</v>
      </c>
      <c r="C161">
        <v>17.7</v>
      </c>
      <c r="D161">
        <v>28.3</v>
      </c>
      <c r="E161">
        <v>76.8</v>
      </c>
      <c r="F161">
        <v>0</v>
      </c>
    </row>
    <row r="162" spans="1:6" x14ac:dyDescent="0.25">
      <c r="A162">
        <v>1</v>
      </c>
      <c r="B162">
        <v>15.6</v>
      </c>
      <c r="C162">
        <v>19.399999999999999</v>
      </c>
      <c r="D162">
        <v>29.4</v>
      </c>
      <c r="E162">
        <v>88.2</v>
      </c>
      <c r="F162">
        <v>0</v>
      </c>
    </row>
    <row r="163" spans="1:6" x14ac:dyDescent="0.25">
      <c r="A163">
        <v>1</v>
      </c>
      <c r="B163">
        <v>14.7</v>
      </c>
      <c r="C163">
        <v>22.3</v>
      </c>
      <c r="D163">
        <v>28.6</v>
      </c>
      <c r="E163">
        <v>89.5</v>
      </c>
      <c r="F163">
        <v>0</v>
      </c>
    </row>
    <row r="164" spans="1:6" x14ac:dyDescent="0.25">
      <c r="A164">
        <v>1</v>
      </c>
      <c r="B164">
        <v>14</v>
      </c>
      <c r="C164">
        <v>23.6</v>
      </c>
      <c r="D164">
        <v>28.3</v>
      </c>
      <c r="E164">
        <v>89.8</v>
      </c>
      <c r="F164">
        <v>0</v>
      </c>
    </row>
    <row r="165" spans="1:6" x14ac:dyDescent="0.25">
      <c r="A165">
        <v>1</v>
      </c>
      <c r="B165">
        <v>12.1</v>
      </c>
      <c r="C165">
        <v>21.7</v>
      </c>
      <c r="D165">
        <v>30.9</v>
      </c>
      <c r="E165">
        <v>70.8</v>
      </c>
      <c r="F165">
        <v>1</v>
      </c>
    </row>
    <row r="166" spans="1:6" x14ac:dyDescent="0.25">
      <c r="A166">
        <v>0</v>
      </c>
      <c r="B166">
        <v>11.1</v>
      </c>
      <c r="C166">
        <v>29.8</v>
      </c>
      <c r="D166">
        <v>29.2</v>
      </c>
      <c r="E166">
        <v>78</v>
      </c>
      <c r="F166">
        <v>1</v>
      </c>
    </row>
    <row r="167" spans="1:6" x14ac:dyDescent="0.25">
      <c r="A167">
        <v>0</v>
      </c>
      <c r="B167">
        <v>13.8</v>
      </c>
      <c r="C167">
        <v>17.899999999999999</v>
      </c>
      <c r="D167">
        <v>29.1</v>
      </c>
      <c r="E167">
        <v>80.900000000000006</v>
      </c>
      <c r="F167">
        <v>0</v>
      </c>
    </row>
    <row r="168" spans="1:6" x14ac:dyDescent="0.25">
      <c r="A168">
        <v>1</v>
      </c>
      <c r="B168">
        <v>11.7</v>
      </c>
      <c r="C168">
        <v>28.1</v>
      </c>
      <c r="D168">
        <v>31.9</v>
      </c>
      <c r="E168">
        <v>72.7</v>
      </c>
      <c r="F168">
        <v>1</v>
      </c>
    </row>
    <row r="169" spans="1:6" x14ac:dyDescent="0.25">
      <c r="A169">
        <v>1</v>
      </c>
      <c r="B169">
        <v>16.7</v>
      </c>
      <c r="C169">
        <v>16.5</v>
      </c>
      <c r="D169">
        <v>30.5</v>
      </c>
      <c r="E169">
        <v>94.5</v>
      </c>
      <c r="F169">
        <v>0</v>
      </c>
    </row>
    <row r="170" spans="1:6" x14ac:dyDescent="0.25">
      <c r="A170">
        <v>0</v>
      </c>
      <c r="B170">
        <v>13.9</v>
      </c>
      <c r="C170">
        <v>29.3</v>
      </c>
      <c r="D170">
        <v>32.200000000000003</v>
      </c>
      <c r="E170">
        <v>78.7</v>
      </c>
      <c r="F170">
        <v>0</v>
      </c>
    </row>
    <row r="171" spans="1:6" x14ac:dyDescent="0.25">
      <c r="A171">
        <v>1</v>
      </c>
      <c r="B171">
        <v>13.1</v>
      </c>
      <c r="C171">
        <v>22.2</v>
      </c>
      <c r="D171">
        <v>31.5</v>
      </c>
      <c r="E171">
        <v>87.3</v>
      </c>
      <c r="F171">
        <v>1</v>
      </c>
    </row>
    <row r="172" spans="1:6" x14ac:dyDescent="0.25">
      <c r="A172">
        <v>1</v>
      </c>
      <c r="B172">
        <v>11.1</v>
      </c>
      <c r="C172">
        <v>21.2</v>
      </c>
      <c r="D172">
        <v>31</v>
      </c>
      <c r="E172">
        <v>87</v>
      </c>
      <c r="F172">
        <v>1</v>
      </c>
    </row>
    <row r="173" spans="1:6" x14ac:dyDescent="0.25">
      <c r="A173">
        <v>1</v>
      </c>
      <c r="B173">
        <v>12.4</v>
      </c>
      <c r="C173">
        <v>23.3</v>
      </c>
      <c r="D173">
        <v>31.3</v>
      </c>
      <c r="E173">
        <v>70.099999999999994</v>
      </c>
      <c r="F173">
        <v>1</v>
      </c>
    </row>
    <row r="174" spans="1:6" x14ac:dyDescent="0.25">
      <c r="A174">
        <v>0</v>
      </c>
      <c r="B174">
        <v>15.5</v>
      </c>
      <c r="C174">
        <v>25.5</v>
      </c>
      <c r="D174">
        <v>27.8</v>
      </c>
      <c r="E174">
        <v>70.900000000000006</v>
      </c>
      <c r="F174">
        <v>0</v>
      </c>
    </row>
    <row r="175" spans="1:6" x14ac:dyDescent="0.25">
      <c r="A175">
        <v>0</v>
      </c>
      <c r="B175">
        <v>11.2</v>
      </c>
      <c r="C175">
        <v>20.100000000000001</v>
      </c>
      <c r="D175">
        <v>30.8</v>
      </c>
      <c r="E175">
        <v>76.400000000000006</v>
      </c>
      <c r="F175">
        <v>1</v>
      </c>
    </row>
    <row r="176" spans="1:6" x14ac:dyDescent="0.25">
      <c r="A176">
        <v>1</v>
      </c>
      <c r="B176">
        <v>10.4</v>
      </c>
      <c r="C176">
        <v>18.899999999999999</v>
      </c>
      <c r="D176">
        <v>27.8</v>
      </c>
      <c r="E176">
        <v>75.099999999999994</v>
      </c>
      <c r="F176">
        <v>1</v>
      </c>
    </row>
    <row r="177" spans="1:6" x14ac:dyDescent="0.25">
      <c r="A177">
        <v>1</v>
      </c>
      <c r="B177">
        <v>12</v>
      </c>
      <c r="C177">
        <v>17.2</v>
      </c>
      <c r="D177">
        <v>31.3</v>
      </c>
      <c r="E177">
        <v>77.400000000000006</v>
      </c>
      <c r="F177">
        <v>1</v>
      </c>
    </row>
    <row r="178" spans="1:6" x14ac:dyDescent="0.25">
      <c r="A178">
        <v>1</v>
      </c>
      <c r="B178">
        <v>15.2</v>
      </c>
      <c r="C178">
        <v>18</v>
      </c>
      <c r="D178">
        <v>31.2</v>
      </c>
      <c r="E178">
        <v>80.3</v>
      </c>
      <c r="F178">
        <v>0</v>
      </c>
    </row>
    <row r="179" spans="1:6" x14ac:dyDescent="0.25">
      <c r="A179">
        <v>0</v>
      </c>
      <c r="B179">
        <v>11.5</v>
      </c>
      <c r="C179">
        <v>16.2</v>
      </c>
      <c r="D179">
        <v>30.9</v>
      </c>
      <c r="E179">
        <v>100.8</v>
      </c>
      <c r="F179">
        <v>1</v>
      </c>
    </row>
    <row r="180" spans="1:6" x14ac:dyDescent="0.25">
      <c r="A180">
        <v>0</v>
      </c>
      <c r="B180">
        <v>15.9</v>
      </c>
      <c r="C180">
        <v>24.7</v>
      </c>
      <c r="D180">
        <v>29.8</v>
      </c>
      <c r="E180">
        <v>96.7</v>
      </c>
      <c r="F180">
        <v>0</v>
      </c>
    </row>
    <row r="181" spans="1:6" x14ac:dyDescent="0.25">
      <c r="A181">
        <v>0</v>
      </c>
      <c r="B181">
        <v>12.8</v>
      </c>
      <c r="C181">
        <v>24</v>
      </c>
      <c r="D181">
        <v>28.5</v>
      </c>
      <c r="E181">
        <v>75.3</v>
      </c>
      <c r="F181">
        <v>0</v>
      </c>
    </row>
    <row r="182" spans="1:6" x14ac:dyDescent="0.25">
      <c r="A182">
        <v>1</v>
      </c>
      <c r="B182">
        <v>10.5</v>
      </c>
      <c r="C182">
        <v>25.3</v>
      </c>
      <c r="D182">
        <v>27.9</v>
      </c>
      <c r="E182">
        <v>77.099999999999994</v>
      </c>
      <c r="F182">
        <v>1</v>
      </c>
    </row>
    <row r="183" spans="1:6" x14ac:dyDescent="0.25">
      <c r="A183">
        <v>1</v>
      </c>
      <c r="B183">
        <v>12.5</v>
      </c>
      <c r="C183">
        <v>25.6</v>
      </c>
      <c r="D183">
        <v>29.9</v>
      </c>
      <c r="E183">
        <v>79.099999999999994</v>
      </c>
      <c r="F183">
        <v>1</v>
      </c>
    </row>
    <row r="184" spans="1:6" x14ac:dyDescent="0.25">
      <c r="A184">
        <v>1</v>
      </c>
      <c r="B184">
        <v>16.2</v>
      </c>
      <c r="C184">
        <v>19.5</v>
      </c>
      <c r="D184">
        <v>31</v>
      </c>
      <c r="E184">
        <v>76.599999999999994</v>
      </c>
      <c r="F184">
        <v>0</v>
      </c>
    </row>
    <row r="185" spans="1:6" x14ac:dyDescent="0.25">
      <c r="A185">
        <v>0</v>
      </c>
      <c r="B185">
        <v>10.7</v>
      </c>
      <c r="C185">
        <v>22.6</v>
      </c>
      <c r="D185">
        <v>30.2</v>
      </c>
      <c r="E185">
        <v>101.5</v>
      </c>
      <c r="F185">
        <v>1</v>
      </c>
    </row>
    <row r="186" spans="1:6" x14ac:dyDescent="0.25">
      <c r="A186">
        <v>1</v>
      </c>
      <c r="B186">
        <v>14.8</v>
      </c>
      <c r="C186">
        <v>23</v>
      </c>
      <c r="D186">
        <v>30.5</v>
      </c>
      <c r="E186">
        <v>69.8</v>
      </c>
      <c r="F186">
        <v>0</v>
      </c>
    </row>
    <row r="187" spans="1:6" x14ac:dyDescent="0.25">
      <c r="A187">
        <v>0</v>
      </c>
      <c r="B187">
        <v>13.1</v>
      </c>
      <c r="C187">
        <v>20.2</v>
      </c>
      <c r="D187">
        <v>32.4</v>
      </c>
      <c r="E187">
        <v>95.4</v>
      </c>
      <c r="F187">
        <v>0</v>
      </c>
    </row>
    <row r="188" spans="1:6" x14ac:dyDescent="0.25">
      <c r="A188">
        <v>1</v>
      </c>
      <c r="B188">
        <v>16.7</v>
      </c>
      <c r="C188">
        <v>25.1</v>
      </c>
      <c r="D188">
        <v>30.1</v>
      </c>
      <c r="E188">
        <v>70.8</v>
      </c>
      <c r="F188">
        <v>0</v>
      </c>
    </row>
    <row r="189" spans="1:6" x14ac:dyDescent="0.25">
      <c r="A189">
        <v>0</v>
      </c>
      <c r="B189">
        <v>13.2</v>
      </c>
      <c r="C189">
        <v>27.8</v>
      </c>
      <c r="D189">
        <v>30.6</v>
      </c>
      <c r="E189">
        <v>81.400000000000006</v>
      </c>
      <c r="F189">
        <v>0</v>
      </c>
    </row>
    <row r="190" spans="1:6" x14ac:dyDescent="0.25">
      <c r="A190">
        <v>1</v>
      </c>
      <c r="B190">
        <v>10.5</v>
      </c>
      <c r="C190">
        <v>28.3</v>
      </c>
      <c r="D190">
        <v>28.7</v>
      </c>
      <c r="E190">
        <v>100.1</v>
      </c>
      <c r="F190">
        <v>1</v>
      </c>
    </row>
    <row r="191" spans="1:6" x14ac:dyDescent="0.25">
      <c r="A191">
        <v>1</v>
      </c>
      <c r="B191">
        <v>12.4</v>
      </c>
      <c r="C191">
        <v>24.5</v>
      </c>
      <c r="D191">
        <v>30.7</v>
      </c>
      <c r="E191">
        <v>93.1</v>
      </c>
      <c r="F191">
        <v>1</v>
      </c>
    </row>
    <row r="192" spans="1:6" x14ac:dyDescent="0.25">
      <c r="A192">
        <v>0</v>
      </c>
      <c r="B192">
        <v>14.9</v>
      </c>
      <c r="C192">
        <v>29.8</v>
      </c>
      <c r="D192">
        <v>32</v>
      </c>
      <c r="E192">
        <v>92.1</v>
      </c>
      <c r="F192">
        <v>0</v>
      </c>
    </row>
    <row r="193" spans="1:6" x14ac:dyDescent="0.25">
      <c r="A193">
        <v>0</v>
      </c>
      <c r="B193">
        <v>11.3</v>
      </c>
      <c r="C193">
        <v>23.5</v>
      </c>
      <c r="D193">
        <v>28.4</v>
      </c>
      <c r="E193">
        <v>75.8</v>
      </c>
      <c r="F193">
        <v>1</v>
      </c>
    </row>
    <row r="194" spans="1:6" x14ac:dyDescent="0.25">
      <c r="A194">
        <v>1</v>
      </c>
      <c r="B194">
        <v>15</v>
      </c>
      <c r="C194">
        <v>21.7</v>
      </c>
      <c r="D194">
        <v>30.6</v>
      </c>
      <c r="E194">
        <v>90</v>
      </c>
      <c r="F194">
        <v>0</v>
      </c>
    </row>
    <row r="195" spans="1:6" x14ac:dyDescent="0.25">
      <c r="A195">
        <v>1</v>
      </c>
      <c r="B195">
        <v>13.4</v>
      </c>
      <c r="C195">
        <v>17.7</v>
      </c>
      <c r="D195">
        <v>30.2</v>
      </c>
      <c r="E195">
        <v>79</v>
      </c>
      <c r="F195">
        <v>1</v>
      </c>
    </row>
    <row r="196" spans="1:6" x14ac:dyDescent="0.25">
      <c r="A196">
        <v>0</v>
      </c>
      <c r="B196">
        <v>14.8</v>
      </c>
      <c r="C196">
        <v>18.8</v>
      </c>
      <c r="D196">
        <v>31.9</v>
      </c>
      <c r="E196">
        <v>77.5</v>
      </c>
      <c r="F196">
        <v>0</v>
      </c>
    </row>
    <row r="197" spans="1:6" x14ac:dyDescent="0.25">
      <c r="A197">
        <v>0</v>
      </c>
      <c r="B197">
        <v>12.7</v>
      </c>
      <c r="C197">
        <v>23.3</v>
      </c>
      <c r="D197">
        <v>30.3</v>
      </c>
      <c r="E197">
        <v>92.8</v>
      </c>
      <c r="F197">
        <v>0</v>
      </c>
    </row>
    <row r="198" spans="1:6" x14ac:dyDescent="0.25">
      <c r="A198">
        <v>0</v>
      </c>
      <c r="B198">
        <v>14.6</v>
      </c>
      <c r="C198">
        <v>26.3</v>
      </c>
      <c r="D198">
        <v>32</v>
      </c>
      <c r="E198">
        <v>90.7</v>
      </c>
      <c r="F198">
        <v>0</v>
      </c>
    </row>
    <row r="199" spans="1:6" x14ac:dyDescent="0.25">
      <c r="A199">
        <v>1</v>
      </c>
      <c r="B199">
        <v>16.399999999999999</v>
      </c>
      <c r="C199">
        <v>27.9</v>
      </c>
      <c r="D199">
        <v>29.2</v>
      </c>
      <c r="E199">
        <v>87.9</v>
      </c>
      <c r="F199">
        <v>0</v>
      </c>
    </row>
    <row r="200" spans="1:6" x14ac:dyDescent="0.25">
      <c r="A200">
        <v>0</v>
      </c>
      <c r="B200">
        <v>16.8</v>
      </c>
      <c r="C200">
        <v>24.3</v>
      </c>
      <c r="D200">
        <v>31.5</v>
      </c>
      <c r="E200">
        <v>92</v>
      </c>
      <c r="F200">
        <v>0</v>
      </c>
    </row>
    <row r="201" spans="1:6" x14ac:dyDescent="0.25">
      <c r="A201">
        <v>0</v>
      </c>
      <c r="B201">
        <v>13.7</v>
      </c>
      <c r="C201">
        <v>26.9</v>
      </c>
      <c r="D201">
        <v>28.1</v>
      </c>
      <c r="E201">
        <v>82.5</v>
      </c>
      <c r="F201">
        <v>0</v>
      </c>
    </row>
    <row r="202" spans="1:6" x14ac:dyDescent="0.25">
      <c r="A202">
        <v>0</v>
      </c>
      <c r="B202">
        <v>14.8</v>
      </c>
      <c r="C202">
        <v>26</v>
      </c>
      <c r="D202">
        <v>29.8</v>
      </c>
      <c r="E202">
        <v>73</v>
      </c>
      <c r="F202">
        <v>0</v>
      </c>
    </row>
    <row r="203" spans="1:6" x14ac:dyDescent="0.25">
      <c r="A203">
        <v>1</v>
      </c>
      <c r="B203">
        <v>13.2</v>
      </c>
      <c r="C203">
        <v>27</v>
      </c>
      <c r="D203">
        <v>31</v>
      </c>
      <c r="E203">
        <v>87.7</v>
      </c>
      <c r="F203">
        <v>1</v>
      </c>
    </row>
    <row r="204" spans="1:6" x14ac:dyDescent="0.25">
      <c r="A204">
        <v>0</v>
      </c>
      <c r="B204">
        <v>10.3</v>
      </c>
      <c r="C204">
        <v>20.100000000000001</v>
      </c>
      <c r="D204">
        <v>28.2</v>
      </c>
      <c r="E204">
        <v>86.3</v>
      </c>
      <c r="F204">
        <v>1</v>
      </c>
    </row>
    <row r="205" spans="1:6" x14ac:dyDescent="0.25">
      <c r="A205">
        <v>1</v>
      </c>
      <c r="B205">
        <v>13.5</v>
      </c>
      <c r="C205">
        <v>27.7</v>
      </c>
      <c r="D205">
        <v>31</v>
      </c>
      <c r="E205">
        <v>77.3</v>
      </c>
      <c r="F205">
        <v>0</v>
      </c>
    </row>
    <row r="206" spans="1:6" x14ac:dyDescent="0.25">
      <c r="A206">
        <v>0</v>
      </c>
      <c r="B206">
        <v>10.6</v>
      </c>
      <c r="C206">
        <v>24.5</v>
      </c>
      <c r="D206">
        <v>28.3</v>
      </c>
      <c r="E206">
        <v>81.5</v>
      </c>
      <c r="F206">
        <v>1</v>
      </c>
    </row>
    <row r="207" spans="1:6" x14ac:dyDescent="0.25">
      <c r="A207">
        <v>1</v>
      </c>
      <c r="B207">
        <v>14.8</v>
      </c>
      <c r="C207">
        <v>16.3</v>
      </c>
      <c r="D207">
        <v>27.8</v>
      </c>
      <c r="E207">
        <v>76.400000000000006</v>
      </c>
      <c r="F207">
        <v>0</v>
      </c>
    </row>
    <row r="208" spans="1:6" x14ac:dyDescent="0.25">
      <c r="A208">
        <v>1</v>
      </c>
      <c r="B208">
        <v>15.7</v>
      </c>
      <c r="C208">
        <v>27.6</v>
      </c>
      <c r="D208">
        <v>30.3</v>
      </c>
      <c r="E208">
        <v>81.599999999999994</v>
      </c>
      <c r="F208">
        <v>0</v>
      </c>
    </row>
    <row r="209" spans="1:6" x14ac:dyDescent="0.25">
      <c r="A209">
        <v>1</v>
      </c>
      <c r="B209">
        <v>11.8</v>
      </c>
      <c r="C209">
        <v>24.3</v>
      </c>
      <c r="D209">
        <v>32</v>
      </c>
      <c r="E209">
        <v>80.599999999999994</v>
      </c>
      <c r="F209">
        <v>1</v>
      </c>
    </row>
    <row r="210" spans="1:6" x14ac:dyDescent="0.25">
      <c r="A210">
        <v>1</v>
      </c>
      <c r="B210">
        <v>15.7</v>
      </c>
      <c r="C210">
        <v>27.2</v>
      </c>
      <c r="D210">
        <v>31.3</v>
      </c>
      <c r="E210">
        <v>69.400000000000006</v>
      </c>
      <c r="F210">
        <v>0</v>
      </c>
    </row>
    <row r="211" spans="1:6" x14ac:dyDescent="0.25">
      <c r="A211">
        <v>1</v>
      </c>
      <c r="B211">
        <v>11.5</v>
      </c>
      <c r="C211">
        <v>17</v>
      </c>
      <c r="D211">
        <v>30.6</v>
      </c>
      <c r="E211">
        <v>71</v>
      </c>
      <c r="F211">
        <v>1</v>
      </c>
    </row>
    <row r="212" spans="1:6" x14ac:dyDescent="0.25">
      <c r="A212">
        <v>1</v>
      </c>
      <c r="B212">
        <v>13</v>
      </c>
      <c r="C212">
        <v>19</v>
      </c>
      <c r="D212">
        <v>31.3</v>
      </c>
      <c r="E212">
        <v>77.3</v>
      </c>
      <c r="F212">
        <v>1</v>
      </c>
    </row>
    <row r="213" spans="1:6" x14ac:dyDescent="0.25">
      <c r="A213">
        <v>0</v>
      </c>
      <c r="B213">
        <v>13.1</v>
      </c>
      <c r="C213">
        <v>17.600000000000001</v>
      </c>
      <c r="D213">
        <v>28.8</v>
      </c>
      <c r="E213">
        <v>85.2</v>
      </c>
      <c r="F213">
        <v>0</v>
      </c>
    </row>
    <row r="214" spans="1:6" x14ac:dyDescent="0.25">
      <c r="A214">
        <v>1</v>
      </c>
      <c r="B214">
        <v>14.6</v>
      </c>
      <c r="C214">
        <v>27.5</v>
      </c>
      <c r="D214">
        <v>31.4</v>
      </c>
      <c r="E214">
        <v>83.6</v>
      </c>
      <c r="F214">
        <v>0</v>
      </c>
    </row>
    <row r="215" spans="1:6" x14ac:dyDescent="0.25">
      <c r="A215">
        <v>0</v>
      </c>
      <c r="B215">
        <v>11.2</v>
      </c>
      <c r="C215">
        <v>22.3</v>
      </c>
      <c r="D215">
        <v>29</v>
      </c>
      <c r="E215">
        <v>100.6</v>
      </c>
      <c r="F215">
        <v>1</v>
      </c>
    </row>
    <row r="216" spans="1:6" x14ac:dyDescent="0.25">
      <c r="A216">
        <v>0</v>
      </c>
      <c r="B216">
        <v>14.6</v>
      </c>
      <c r="C216">
        <v>17.100000000000001</v>
      </c>
      <c r="D216">
        <v>31.8</v>
      </c>
      <c r="E216">
        <v>84.6</v>
      </c>
      <c r="F216">
        <v>0</v>
      </c>
    </row>
    <row r="217" spans="1:6" x14ac:dyDescent="0.25">
      <c r="A217">
        <v>0</v>
      </c>
      <c r="B217">
        <v>16.3</v>
      </c>
      <c r="C217">
        <v>16.399999999999999</v>
      </c>
      <c r="D217">
        <v>27.8</v>
      </c>
      <c r="E217">
        <v>88.7</v>
      </c>
      <c r="F217">
        <v>0</v>
      </c>
    </row>
    <row r="218" spans="1:6" x14ac:dyDescent="0.25">
      <c r="A218">
        <v>1</v>
      </c>
      <c r="B218">
        <v>14.7</v>
      </c>
      <c r="C218">
        <v>26.6</v>
      </c>
      <c r="D218">
        <v>28.3</v>
      </c>
      <c r="E218">
        <v>88.6</v>
      </c>
      <c r="F218">
        <v>0</v>
      </c>
    </row>
    <row r="219" spans="1:6" x14ac:dyDescent="0.25">
      <c r="A219">
        <v>0</v>
      </c>
      <c r="B219">
        <v>16</v>
      </c>
      <c r="C219">
        <v>24.9</v>
      </c>
      <c r="D219">
        <v>28.3</v>
      </c>
      <c r="E219">
        <v>100</v>
      </c>
      <c r="F219">
        <v>0</v>
      </c>
    </row>
    <row r="220" spans="1:6" x14ac:dyDescent="0.25">
      <c r="A220">
        <v>1</v>
      </c>
      <c r="B220">
        <v>11</v>
      </c>
      <c r="C220">
        <v>29.5</v>
      </c>
      <c r="D220">
        <v>30.7</v>
      </c>
      <c r="E220">
        <v>72.599999999999994</v>
      </c>
      <c r="F220">
        <v>1</v>
      </c>
    </row>
    <row r="221" spans="1:6" x14ac:dyDescent="0.25">
      <c r="A221">
        <v>1</v>
      </c>
      <c r="B221">
        <v>16.600000000000001</v>
      </c>
      <c r="C221">
        <v>22.7</v>
      </c>
      <c r="D221">
        <v>28.2</v>
      </c>
      <c r="E221">
        <v>87</v>
      </c>
      <c r="F221">
        <v>0</v>
      </c>
    </row>
    <row r="222" spans="1:6" x14ac:dyDescent="0.25">
      <c r="A222">
        <v>1</v>
      </c>
      <c r="B222">
        <v>11.4</v>
      </c>
      <c r="C222">
        <v>17.600000000000001</v>
      </c>
      <c r="D222">
        <v>30.2</v>
      </c>
      <c r="E222">
        <v>70</v>
      </c>
      <c r="F222">
        <v>1</v>
      </c>
    </row>
    <row r="223" spans="1:6" x14ac:dyDescent="0.25">
      <c r="A223">
        <v>1</v>
      </c>
      <c r="B223">
        <v>15.4</v>
      </c>
      <c r="C223">
        <v>23.4</v>
      </c>
      <c r="D223">
        <v>32.4</v>
      </c>
      <c r="E223">
        <v>92.9</v>
      </c>
      <c r="F223">
        <v>0</v>
      </c>
    </row>
    <row r="224" spans="1:6" x14ac:dyDescent="0.25">
      <c r="A224">
        <v>0</v>
      </c>
      <c r="B224">
        <v>11.1</v>
      </c>
      <c r="C224">
        <v>18.3</v>
      </c>
      <c r="D224">
        <v>28.5</v>
      </c>
      <c r="E224">
        <v>73.3</v>
      </c>
      <c r="F224">
        <v>1</v>
      </c>
    </row>
    <row r="225" spans="1:6" x14ac:dyDescent="0.25">
      <c r="A225">
        <v>0</v>
      </c>
      <c r="B225">
        <v>15.5</v>
      </c>
      <c r="C225">
        <v>17.399999999999999</v>
      </c>
      <c r="D225">
        <v>28.5</v>
      </c>
      <c r="E225">
        <v>78.900000000000006</v>
      </c>
      <c r="F225">
        <v>0</v>
      </c>
    </row>
    <row r="226" spans="1:6" x14ac:dyDescent="0.25">
      <c r="A226">
        <v>0</v>
      </c>
      <c r="B226">
        <v>10.4</v>
      </c>
      <c r="C226">
        <v>18.600000000000001</v>
      </c>
      <c r="D226">
        <v>29.1</v>
      </c>
      <c r="E226">
        <v>79.2</v>
      </c>
      <c r="F226">
        <v>1</v>
      </c>
    </row>
    <row r="227" spans="1:6" x14ac:dyDescent="0.25">
      <c r="A227">
        <v>0</v>
      </c>
      <c r="B227">
        <v>10.5</v>
      </c>
      <c r="C227">
        <v>18.8</v>
      </c>
      <c r="D227">
        <v>29.1</v>
      </c>
      <c r="E227">
        <v>80.599999999999994</v>
      </c>
      <c r="F227">
        <v>1</v>
      </c>
    </row>
    <row r="228" spans="1:6" x14ac:dyDescent="0.25">
      <c r="A228">
        <v>1</v>
      </c>
      <c r="B228">
        <v>16.7</v>
      </c>
      <c r="C228">
        <v>23.5</v>
      </c>
      <c r="D228">
        <v>28.1</v>
      </c>
      <c r="E228">
        <v>76.900000000000006</v>
      </c>
      <c r="F228">
        <v>0</v>
      </c>
    </row>
    <row r="229" spans="1:6" x14ac:dyDescent="0.25">
      <c r="A229">
        <v>0</v>
      </c>
      <c r="B229">
        <v>15.3</v>
      </c>
      <c r="C229">
        <v>29.3</v>
      </c>
      <c r="D229">
        <v>28.9</v>
      </c>
      <c r="E229">
        <v>88.3</v>
      </c>
      <c r="F229">
        <v>0</v>
      </c>
    </row>
    <row r="230" spans="1:6" x14ac:dyDescent="0.25">
      <c r="A230">
        <v>1</v>
      </c>
      <c r="B230">
        <v>16.3</v>
      </c>
      <c r="C230">
        <v>26.7</v>
      </c>
      <c r="D230">
        <v>29.9</v>
      </c>
      <c r="E230">
        <v>84.1</v>
      </c>
      <c r="F230">
        <v>0</v>
      </c>
    </row>
    <row r="231" spans="1:6" x14ac:dyDescent="0.25">
      <c r="A231">
        <v>0</v>
      </c>
      <c r="B231">
        <v>14.6</v>
      </c>
      <c r="C231">
        <v>28.9</v>
      </c>
      <c r="D231">
        <v>28.5</v>
      </c>
      <c r="E231">
        <v>74.2</v>
      </c>
      <c r="F231">
        <v>0</v>
      </c>
    </row>
    <row r="232" spans="1:6" x14ac:dyDescent="0.25">
      <c r="A232">
        <v>0</v>
      </c>
      <c r="B232">
        <v>13.4</v>
      </c>
      <c r="C232">
        <v>22</v>
      </c>
      <c r="D232">
        <v>30.8</v>
      </c>
      <c r="E232">
        <v>79.7</v>
      </c>
      <c r="F232">
        <v>0</v>
      </c>
    </row>
    <row r="233" spans="1:6" x14ac:dyDescent="0.25">
      <c r="A233">
        <v>1</v>
      </c>
      <c r="B233">
        <v>14.8</v>
      </c>
      <c r="C233">
        <v>28.8</v>
      </c>
      <c r="D233">
        <v>29.6</v>
      </c>
      <c r="E233">
        <v>84.9</v>
      </c>
      <c r="F233">
        <v>0</v>
      </c>
    </row>
    <row r="234" spans="1:6" x14ac:dyDescent="0.25">
      <c r="A234">
        <v>1</v>
      </c>
      <c r="B234">
        <v>16</v>
      </c>
      <c r="C234">
        <v>28.1</v>
      </c>
      <c r="D234">
        <v>31.6</v>
      </c>
      <c r="E234">
        <v>94.6</v>
      </c>
      <c r="F234">
        <v>0</v>
      </c>
    </row>
    <row r="235" spans="1:6" x14ac:dyDescent="0.25">
      <c r="A235">
        <v>1</v>
      </c>
      <c r="B235">
        <v>16.600000000000001</v>
      </c>
      <c r="C235">
        <v>29.1</v>
      </c>
      <c r="D235">
        <v>29.9</v>
      </c>
      <c r="E235">
        <v>76.400000000000006</v>
      </c>
      <c r="F235">
        <v>0</v>
      </c>
    </row>
    <row r="236" spans="1:6" x14ac:dyDescent="0.25">
      <c r="A236">
        <v>0</v>
      </c>
      <c r="B236">
        <v>15.6</v>
      </c>
      <c r="C236">
        <v>28.8</v>
      </c>
      <c r="D236">
        <v>30.8</v>
      </c>
      <c r="E236">
        <v>86.4</v>
      </c>
      <c r="F236">
        <v>0</v>
      </c>
    </row>
    <row r="237" spans="1:6" x14ac:dyDescent="0.25">
      <c r="A237">
        <v>1</v>
      </c>
      <c r="B237">
        <v>16.7</v>
      </c>
      <c r="C237">
        <v>20.100000000000001</v>
      </c>
      <c r="D237">
        <v>31.4</v>
      </c>
      <c r="E237">
        <v>73</v>
      </c>
      <c r="F237">
        <v>0</v>
      </c>
    </row>
    <row r="238" spans="1:6" x14ac:dyDescent="0.25">
      <c r="A238">
        <v>1</v>
      </c>
      <c r="B238">
        <v>10.7</v>
      </c>
      <c r="C238">
        <v>20</v>
      </c>
      <c r="D238">
        <v>29.1</v>
      </c>
      <c r="E238">
        <v>79.3</v>
      </c>
      <c r="F238">
        <v>1</v>
      </c>
    </row>
    <row r="239" spans="1:6" x14ac:dyDescent="0.25">
      <c r="A239">
        <v>1</v>
      </c>
      <c r="B239">
        <v>14.9</v>
      </c>
      <c r="C239">
        <v>22.7</v>
      </c>
      <c r="D239">
        <v>29.1</v>
      </c>
      <c r="E239">
        <v>83.7</v>
      </c>
      <c r="F239">
        <v>0</v>
      </c>
    </row>
    <row r="240" spans="1:6" x14ac:dyDescent="0.25">
      <c r="A240">
        <v>0</v>
      </c>
      <c r="B240">
        <v>15.9</v>
      </c>
      <c r="C240">
        <v>25.4</v>
      </c>
      <c r="D240">
        <v>28.3</v>
      </c>
      <c r="E240">
        <v>72</v>
      </c>
      <c r="F240">
        <v>0</v>
      </c>
    </row>
    <row r="241" spans="1:6" x14ac:dyDescent="0.25">
      <c r="A241">
        <v>0</v>
      </c>
      <c r="B241">
        <v>15.4</v>
      </c>
      <c r="C241">
        <v>21.5</v>
      </c>
      <c r="D241">
        <v>29.6</v>
      </c>
      <c r="E241">
        <v>71.2</v>
      </c>
      <c r="F241">
        <v>0</v>
      </c>
    </row>
    <row r="242" spans="1:6" x14ac:dyDescent="0.25">
      <c r="A242">
        <v>0</v>
      </c>
      <c r="B242">
        <v>14.9</v>
      </c>
      <c r="C242">
        <v>16</v>
      </c>
      <c r="D242">
        <v>31.4</v>
      </c>
      <c r="E242">
        <v>87.5</v>
      </c>
      <c r="F242">
        <v>0</v>
      </c>
    </row>
    <row r="243" spans="1:6" x14ac:dyDescent="0.25">
      <c r="A243">
        <v>1</v>
      </c>
      <c r="B243">
        <v>12.6</v>
      </c>
      <c r="C243">
        <v>22</v>
      </c>
      <c r="D243">
        <v>28.2</v>
      </c>
      <c r="E243">
        <v>99.5</v>
      </c>
      <c r="F243">
        <v>1</v>
      </c>
    </row>
    <row r="244" spans="1:6" x14ac:dyDescent="0.25">
      <c r="A244">
        <v>0</v>
      </c>
      <c r="B244">
        <v>11.6</v>
      </c>
      <c r="C244">
        <v>22.3</v>
      </c>
      <c r="D244">
        <v>30.9</v>
      </c>
      <c r="E244">
        <v>74.5</v>
      </c>
      <c r="F244">
        <v>1</v>
      </c>
    </row>
    <row r="245" spans="1:6" x14ac:dyDescent="0.25">
      <c r="A245">
        <v>1</v>
      </c>
      <c r="B245">
        <v>12.7</v>
      </c>
      <c r="C245">
        <v>19.5</v>
      </c>
      <c r="D245">
        <v>28.9</v>
      </c>
      <c r="E245">
        <v>82.9</v>
      </c>
      <c r="F245">
        <v>1</v>
      </c>
    </row>
    <row r="246" spans="1:6" x14ac:dyDescent="0.25">
      <c r="A246">
        <v>1</v>
      </c>
      <c r="B246">
        <v>12.7</v>
      </c>
      <c r="C246">
        <v>28.5</v>
      </c>
      <c r="D246">
        <v>28.2</v>
      </c>
      <c r="E246">
        <v>92.3</v>
      </c>
      <c r="F246">
        <v>1</v>
      </c>
    </row>
    <row r="247" spans="1:6" x14ac:dyDescent="0.25">
      <c r="A247">
        <v>0</v>
      </c>
      <c r="B247">
        <v>14.1</v>
      </c>
      <c r="C247">
        <v>29.7</v>
      </c>
      <c r="D247">
        <v>30.5</v>
      </c>
      <c r="E247">
        <v>75.2</v>
      </c>
      <c r="F247">
        <v>0</v>
      </c>
    </row>
    <row r="248" spans="1:6" x14ac:dyDescent="0.25">
      <c r="A248">
        <v>1</v>
      </c>
      <c r="B248">
        <v>14.9</v>
      </c>
      <c r="C248">
        <v>25.8</v>
      </c>
      <c r="D248">
        <v>31.3</v>
      </c>
      <c r="E248">
        <v>82.9</v>
      </c>
      <c r="F248">
        <v>0</v>
      </c>
    </row>
    <row r="249" spans="1:6" x14ac:dyDescent="0.25">
      <c r="A249">
        <v>1</v>
      </c>
      <c r="B249">
        <v>15.9</v>
      </c>
      <c r="C249">
        <v>18.3</v>
      </c>
      <c r="D249">
        <v>29.6</v>
      </c>
      <c r="E249">
        <v>87.8</v>
      </c>
      <c r="F249">
        <v>0</v>
      </c>
    </row>
    <row r="250" spans="1:6" x14ac:dyDescent="0.25">
      <c r="A250">
        <v>0</v>
      </c>
      <c r="B250">
        <v>10.8</v>
      </c>
      <c r="C250">
        <v>27.5</v>
      </c>
      <c r="D250">
        <v>28.2</v>
      </c>
      <c r="E250">
        <v>93</v>
      </c>
      <c r="F250">
        <v>1</v>
      </c>
    </row>
    <row r="251" spans="1:6" x14ac:dyDescent="0.25">
      <c r="A251">
        <v>0</v>
      </c>
      <c r="B251">
        <v>13.4</v>
      </c>
      <c r="C251">
        <v>25.2</v>
      </c>
      <c r="D251">
        <v>30.2</v>
      </c>
      <c r="E251">
        <v>95.9</v>
      </c>
      <c r="F251">
        <v>0</v>
      </c>
    </row>
    <row r="252" spans="1:6" x14ac:dyDescent="0.25">
      <c r="A252">
        <v>0</v>
      </c>
      <c r="B252">
        <v>14.7</v>
      </c>
      <c r="C252">
        <v>28.9</v>
      </c>
      <c r="D252">
        <v>31</v>
      </c>
      <c r="E252">
        <v>69.8</v>
      </c>
      <c r="F252">
        <v>0</v>
      </c>
    </row>
    <row r="253" spans="1:6" x14ac:dyDescent="0.25">
      <c r="A253">
        <v>0</v>
      </c>
      <c r="B253">
        <v>15.9</v>
      </c>
      <c r="C253">
        <v>24.3</v>
      </c>
      <c r="D253">
        <v>28.7</v>
      </c>
      <c r="E253">
        <v>91.5</v>
      </c>
      <c r="F253">
        <v>0</v>
      </c>
    </row>
    <row r="254" spans="1:6" x14ac:dyDescent="0.25">
      <c r="A254">
        <v>1</v>
      </c>
      <c r="B254">
        <v>14</v>
      </c>
      <c r="C254">
        <v>25.5</v>
      </c>
      <c r="D254">
        <v>32</v>
      </c>
      <c r="E254">
        <v>81.599999999999994</v>
      </c>
      <c r="F254">
        <v>0</v>
      </c>
    </row>
    <row r="255" spans="1:6" x14ac:dyDescent="0.25">
      <c r="A255">
        <v>1</v>
      </c>
      <c r="B255">
        <v>15.9</v>
      </c>
      <c r="C255">
        <v>24</v>
      </c>
      <c r="D255">
        <v>27.9</v>
      </c>
      <c r="E255">
        <v>83.7</v>
      </c>
      <c r="F255">
        <v>0</v>
      </c>
    </row>
    <row r="256" spans="1:6" x14ac:dyDescent="0.25">
      <c r="A256">
        <v>1</v>
      </c>
      <c r="B256">
        <v>12.3</v>
      </c>
      <c r="C256">
        <v>21.8</v>
      </c>
      <c r="D256">
        <v>27.8</v>
      </c>
      <c r="E256">
        <v>77.900000000000006</v>
      </c>
      <c r="F256">
        <v>1</v>
      </c>
    </row>
    <row r="257" spans="1:6" x14ac:dyDescent="0.25">
      <c r="A257">
        <v>1</v>
      </c>
      <c r="B257">
        <v>15.4</v>
      </c>
      <c r="C257">
        <v>24.6</v>
      </c>
      <c r="D257">
        <v>30.1</v>
      </c>
      <c r="E257">
        <v>94.3</v>
      </c>
      <c r="F257">
        <v>0</v>
      </c>
    </row>
    <row r="258" spans="1:6" x14ac:dyDescent="0.25">
      <c r="A258">
        <v>0</v>
      </c>
      <c r="B258">
        <v>13.6</v>
      </c>
      <c r="C258">
        <v>19.3</v>
      </c>
      <c r="D258">
        <v>31.4</v>
      </c>
      <c r="E258">
        <v>78.900000000000006</v>
      </c>
      <c r="F258">
        <v>0</v>
      </c>
    </row>
    <row r="259" spans="1:6" x14ac:dyDescent="0.25">
      <c r="A259">
        <v>1</v>
      </c>
      <c r="B259">
        <v>16.5</v>
      </c>
      <c r="C259">
        <v>19.3</v>
      </c>
      <c r="D259">
        <v>29.2</v>
      </c>
      <c r="E259">
        <v>69.7</v>
      </c>
      <c r="F259">
        <v>0</v>
      </c>
    </row>
    <row r="260" spans="1:6" x14ac:dyDescent="0.25">
      <c r="A260">
        <v>1</v>
      </c>
      <c r="B260">
        <v>16.2</v>
      </c>
      <c r="C260">
        <v>17.2</v>
      </c>
      <c r="D260">
        <v>32.200000000000003</v>
      </c>
      <c r="E260">
        <v>78.400000000000006</v>
      </c>
      <c r="F260">
        <v>0</v>
      </c>
    </row>
    <row r="261" spans="1:6" x14ac:dyDescent="0.25">
      <c r="A261">
        <v>0</v>
      </c>
      <c r="B261">
        <v>15.2</v>
      </c>
      <c r="C261">
        <v>28.1</v>
      </c>
      <c r="D261">
        <v>32.5</v>
      </c>
      <c r="E261">
        <v>94.6</v>
      </c>
      <c r="F261">
        <v>0</v>
      </c>
    </row>
    <row r="262" spans="1:6" x14ac:dyDescent="0.25">
      <c r="A262">
        <v>1</v>
      </c>
      <c r="B262">
        <v>11.8</v>
      </c>
      <c r="C262">
        <v>16.3</v>
      </c>
      <c r="D262">
        <v>30.9</v>
      </c>
      <c r="E262">
        <v>78.7</v>
      </c>
      <c r="F262">
        <v>1</v>
      </c>
    </row>
    <row r="263" spans="1:6" x14ac:dyDescent="0.25">
      <c r="A263">
        <v>1</v>
      </c>
      <c r="B263">
        <v>11</v>
      </c>
      <c r="C263">
        <v>26</v>
      </c>
      <c r="D263">
        <v>32.200000000000003</v>
      </c>
      <c r="E263">
        <v>98.9</v>
      </c>
      <c r="F263">
        <v>1</v>
      </c>
    </row>
    <row r="264" spans="1:6" x14ac:dyDescent="0.25">
      <c r="A264">
        <v>1</v>
      </c>
      <c r="B264">
        <v>11</v>
      </c>
      <c r="C264">
        <v>25.2</v>
      </c>
      <c r="D264">
        <v>30.9</v>
      </c>
      <c r="E264">
        <v>83.2</v>
      </c>
      <c r="F264">
        <v>1</v>
      </c>
    </row>
    <row r="265" spans="1:6" x14ac:dyDescent="0.25">
      <c r="A265">
        <v>0</v>
      </c>
      <c r="B265">
        <v>10.7</v>
      </c>
      <c r="C265">
        <v>21.3</v>
      </c>
      <c r="D265">
        <v>29.1</v>
      </c>
      <c r="E265">
        <v>78.7</v>
      </c>
      <c r="F265">
        <v>1</v>
      </c>
    </row>
    <row r="266" spans="1:6" x14ac:dyDescent="0.25">
      <c r="A266">
        <v>1</v>
      </c>
      <c r="B266">
        <v>14.8</v>
      </c>
      <c r="C266">
        <v>23.4</v>
      </c>
      <c r="D266">
        <v>29.2</v>
      </c>
      <c r="E266">
        <v>74.7</v>
      </c>
      <c r="F266">
        <v>0</v>
      </c>
    </row>
    <row r="267" spans="1:6" x14ac:dyDescent="0.25">
      <c r="A267">
        <v>0</v>
      </c>
      <c r="B267">
        <v>12.1</v>
      </c>
      <c r="C267">
        <v>28.3</v>
      </c>
      <c r="D267">
        <v>29.2</v>
      </c>
      <c r="E267">
        <v>99.7</v>
      </c>
      <c r="F267">
        <v>0</v>
      </c>
    </row>
    <row r="268" spans="1:6" x14ac:dyDescent="0.25">
      <c r="A268">
        <v>1</v>
      </c>
      <c r="B268">
        <v>14.7</v>
      </c>
      <c r="C268">
        <v>23.4</v>
      </c>
      <c r="D268">
        <v>29.9</v>
      </c>
      <c r="E268">
        <v>85.3</v>
      </c>
      <c r="F268">
        <v>0</v>
      </c>
    </row>
    <row r="269" spans="1:6" x14ac:dyDescent="0.25">
      <c r="A269">
        <v>0</v>
      </c>
      <c r="B269">
        <v>11.2</v>
      </c>
      <c r="C269">
        <v>16.100000000000001</v>
      </c>
      <c r="D269">
        <v>30.3</v>
      </c>
      <c r="E269">
        <v>82.6</v>
      </c>
      <c r="F269">
        <v>1</v>
      </c>
    </row>
    <row r="270" spans="1:6" x14ac:dyDescent="0.25">
      <c r="A270">
        <v>1</v>
      </c>
      <c r="B270">
        <v>14.3</v>
      </c>
      <c r="C270">
        <v>16.399999999999999</v>
      </c>
      <c r="D270">
        <v>29.9</v>
      </c>
      <c r="E270">
        <v>90.1</v>
      </c>
      <c r="F270">
        <v>0</v>
      </c>
    </row>
    <row r="271" spans="1:6" x14ac:dyDescent="0.25">
      <c r="A271">
        <v>1</v>
      </c>
      <c r="B271">
        <v>12.7</v>
      </c>
      <c r="C271">
        <v>24.1</v>
      </c>
      <c r="D271">
        <v>28.7</v>
      </c>
      <c r="E271">
        <v>97.2</v>
      </c>
      <c r="F271">
        <v>1</v>
      </c>
    </row>
    <row r="272" spans="1:6" x14ac:dyDescent="0.25">
      <c r="A272">
        <v>0</v>
      </c>
      <c r="B272">
        <v>11</v>
      </c>
      <c r="C272">
        <v>17</v>
      </c>
      <c r="D272">
        <v>29.5</v>
      </c>
      <c r="E272">
        <v>75.3</v>
      </c>
      <c r="F272">
        <v>1</v>
      </c>
    </row>
    <row r="273" spans="1:6" x14ac:dyDescent="0.25">
      <c r="A273">
        <v>0</v>
      </c>
      <c r="B273">
        <v>11.9</v>
      </c>
      <c r="C273">
        <v>29.5</v>
      </c>
      <c r="D273">
        <v>32.200000000000003</v>
      </c>
      <c r="E273">
        <v>87.8</v>
      </c>
      <c r="F273">
        <v>1</v>
      </c>
    </row>
    <row r="274" spans="1:6" x14ac:dyDescent="0.25">
      <c r="A274">
        <v>1</v>
      </c>
      <c r="B274">
        <v>13.5</v>
      </c>
      <c r="C274">
        <v>22.1</v>
      </c>
      <c r="D274">
        <v>29.6</v>
      </c>
      <c r="E274">
        <v>74.7</v>
      </c>
      <c r="F274">
        <v>0</v>
      </c>
    </row>
    <row r="275" spans="1:6" x14ac:dyDescent="0.25">
      <c r="A275">
        <v>1</v>
      </c>
      <c r="B275">
        <v>13.3</v>
      </c>
      <c r="C275">
        <v>17.600000000000001</v>
      </c>
      <c r="D275">
        <v>32.4</v>
      </c>
      <c r="E275">
        <v>101.5</v>
      </c>
      <c r="F275">
        <v>1</v>
      </c>
    </row>
    <row r="276" spans="1:6" x14ac:dyDescent="0.25">
      <c r="A276">
        <v>0</v>
      </c>
      <c r="B276">
        <v>14.9</v>
      </c>
      <c r="C276">
        <v>29.1</v>
      </c>
      <c r="D276">
        <v>32.1</v>
      </c>
      <c r="E276">
        <v>84.9</v>
      </c>
      <c r="F276">
        <v>0</v>
      </c>
    </row>
    <row r="277" spans="1:6" x14ac:dyDescent="0.25">
      <c r="A277">
        <v>0</v>
      </c>
      <c r="B277">
        <v>11.6</v>
      </c>
      <c r="C277">
        <v>19.399999999999999</v>
      </c>
      <c r="D277">
        <v>30.1</v>
      </c>
      <c r="E277">
        <v>85.3</v>
      </c>
      <c r="F277">
        <v>1</v>
      </c>
    </row>
    <row r="278" spans="1:6" x14ac:dyDescent="0.25">
      <c r="A278">
        <v>0</v>
      </c>
      <c r="B278">
        <v>12.5</v>
      </c>
      <c r="C278">
        <v>23.5</v>
      </c>
      <c r="D278">
        <v>30.6</v>
      </c>
      <c r="E278">
        <v>82.8</v>
      </c>
      <c r="F278">
        <v>0</v>
      </c>
    </row>
    <row r="279" spans="1:6" x14ac:dyDescent="0.25">
      <c r="A279">
        <v>0</v>
      </c>
      <c r="B279">
        <v>14.5</v>
      </c>
      <c r="C279">
        <v>24.9</v>
      </c>
      <c r="D279">
        <v>29</v>
      </c>
      <c r="E279">
        <v>81.8</v>
      </c>
      <c r="F279">
        <v>0</v>
      </c>
    </row>
    <row r="280" spans="1:6" x14ac:dyDescent="0.25">
      <c r="A280">
        <v>1</v>
      </c>
      <c r="B280">
        <v>12.8</v>
      </c>
      <c r="C280">
        <v>21.2</v>
      </c>
      <c r="D280">
        <v>31.7</v>
      </c>
      <c r="E280">
        <v>73.3</v>
      </c>
      <c r="F280">
        <v>1</v>
      </c>
    </row>
    <row r="281" spans="1:6" x14ac:dyDescent="0.25">
      <c r="A281">
        <v>0</v>
      </c>
      <c r="B281">
        <v>12.8</v>
      </c>
      <c r="C281">
        <v>21.3</v>
      </c>
      <c r="D281">
        <v>29.4</v>
      </c>
      <c r="E281">
        <v>94.2</v>
      </c>
      <c r="F281">
        <v>0</v>
      </c>
    </row>
    <row r="282" spans="1:6" x14ac:dyDescent="0.25">
      <c r="A282">
        <v>0</v>
      </c>
      <c r="B282">
        <v>15.2</v>
      </c>
      <c r="C282">
        <v>28.1</v>
      </c>
      <c r="D282">
        <v>31.4</v>
      </c>
      <c r="E282">
        <v>77.3</v>
      </c>
      <c r="F282">
        <v>0</v>
      </c>
    </row>
    <row r="283" spans="1:6" x14ac:dyDescent="0.25">
      <c r="A283">
        <v>0</v>
      </c>
      <c r="B283">
        <v>16.100000000000001</v>
      </c>
      <c r="C283">
        <v>21.4</v>
      </c>
      <c r="D283">
        <v>29.1</v>
      </c>
      <c r="E283">
        <v>88.8</v>
      </c>
      <c r="F283">
        <v>0</v>
      </c>
    </row>
    <row r="284" spans="1:6" x14ac:dyDescent="0.25">
      <c r="A284">
        <v>0</v>
      </c>
      <c r="B284">
        <v>11.7</v>
      </c>
      <c r="C284">
        <v>26.3</v>
      </c>
      <c r="D284">
        <v>30</v>
      </c>
      <c r="E284">
        <v>70.5</v>
      </c>
      <c r="F284">
        <v>1</v>
      </c>
    </row>
    <row r="285" spans="1:6" x14ac:dyDescent="0.25">
      <c r="A285">
        <v>1</v>
      </c>
      <c r="B285">
        <v>16.7</v>
      </c>
      <c r="C285">
        <v>20.8</v>
      </c>
      <c r="D285">
        <v>31.9</v>
      </c>
      <c r="E285">
        <v>85.1</v>
      </c>
      <c r="F285">
        <v>0</v>
      </c>
    </row>
    <row r="286" spans="1:6" x14ac:dyDescent="0.25">
      <c r="A286">
        <v>1</v>
      </c>
      <c r="B286">
        <v>11.3</v>
      </c>
      <c r="C286">
        <v>26.7</v>
      </c>
      <c r="D286">
        <v>29.8</v>
      </c>
      <c r="E286">
        <v>92.7</v>
      </c>
      <c r="F286">
        <v>1</v>
      </c>
    </row>
    <row r="287" spans="1:6" x14ac:dyDescent="0.25">
      <c r="A287">
        <v>0</v>
      </c>
      <c r="B287">
        <v>15.3</v>
      </c>
      <c r="C287">
        <v>18.600000000000001</v>
      </c>
      <c r="D287">
        <v>30.4</v>
      </c>
      <c r="E287">
        <v>96.6</v>
      </c>
      <c r="F287">
        <v>0</v>
      </c>
    </row>
    <row r="288" spans="1:6" x14ac:dyDescent="0.25">
      <c r="A288">
        <v>1</v>
      </c>
      <c r="B288">
        <v>14.4</v>
      </c>
      <c r="C288">
        <v>28.1</v>
      </c>
      <c r="D288">
        <v>28.5</v>
      </c>
      <c r="E288">
        <v>93.2</v>
      </c>
      <c r="F288">
        <v>0</v>
      </c>
    </row>
    <row r="289" spans="1:6" x14ac:dyDescent="0.25">
      <c r="A289">
        <v>1</v>
      </c>
      <c r="B289">
        <v>13.1</v>
      </c>
      <c r="C289">
        <v>28.3</v>
      </c>
      <c r="D289">
        <v>29.6</v>
      </c>
      <c r="E289">
        <v>86.5</v>
      </c>
      <c r="F289">
        <v>1</v>
      </c>
    </row>
    <row r="290" spans="1:6" x14ac:dyDescent="0.25">
      <c r="A290">
        <v>1</v>
      </c>
      <c r="B290">
        <v>12.7</v>
      </c>
      <c r="C290">
        <v>19.100000000000001</v>
      </c>
      <c r="D290">
        <v>29.8</v>
      </c>
      <c r="E290">
        <v>84.3</v>
      </c>
      <c r="F290">
        <v>1</v>
      </c>
    </row>
    <row r="291" spans="1:6" x14ac:dyDescent="0.25">
      <c r="A291">
        <v>0</v>
      </c>
      <c r="B291">
        <v>14.8</v>
      </c>
      <c r="C291">
        <v>28.2</v>
      </c>
      <c r="D291">
        <v>30.8</v>
      </c>
      <c r="E291">
        <v>70.7</v>
      </c>
      <c r="F291">
        <v>0</v>
      </c>
    </row>
    <row r="292" spans="1:6" x14ac:dyDescent="0.25">
      <c r="A292">
        <v>0</v>
      </c>
      <c r="B292">
        <v>10.5</v>
      </c>
      <c r="C292">
        <v>25.5</v>
      </c>
      <c r="D292">
        <v>29.6</v>
      </c>
      <c r="E292">
        <v>83.2</v>
      </c>
      <c r="F292">
        <v>1</v>
      </c>
    </row>
    <row r="293" spans="1:6" x14ac:dyDescent="0.25">
      <c r="A293">
        <v>1</v>
      </c>
      <c r="B293">
        <v>14.7</v>
      </c>
      <c r="C293">
        <v>20</v>
      </c>
      <c r="D293">
        <v>29.3</v>
      </c>
      <c r="E293">
        <v>94.4</v>
      </c>
      <c r="F293">
        <v>0</v>
      </c>
    </row>
    <row r="294" spans="1:6" x14ac:dyDescent="0.25">
      <c r="A294">
        <v>0</v>
      </c>
      <c r="B294">
        <v>13.8</v>
      </c>
      <c r="C294">
        <v>27.3</v>
      </c>
      <c r="D294">
        <v>29.6</v>
      </c>
      <c r="E294">
        <v>97.9</v>
      </c>
      <c r="F294">
        <v>0</v>
      </c>
    </row>
    <row r="295" spans="1:6" x14ac:dyDescent="0.25">
      <c r="A295">
        <v>1</v>
      </c>
      <c r="B295">
        <v>10.8</v>
      </c>
      <c r="C295">
        <v>16.8</v>
      </c>
      <c r="D295">
        <v>30.6</v>
      </c>
      <c r="E295">
        <v>79.599999999999994</v>
      </c>
      <c r="F295">
        <v>1</v>
      </c>
    </row>
    <row r="296" spans="1:6" x14ac:dyDescent="0.25">
      <c r="A296">
        <v>1</v>
      </c>
      <c r="B296">
        <v>13.8</v>
      </c>
      <c r="C296">
        <v>20.9</v>
      </c>
      <c r="D296">
        <v>31.2</v>
      </c>
      <c r="E296">
        <v>97.4</v>
      </c>
      <c r="F296">
        <v>0</v>
      </c>
    </row>
    <row r="297" spans="1:6" x14ac:dyDescent="0.25">
      <c r="A297">
        <v>0</v>
      </c>
      <c r="B297">
        <v>11.5</v>
      </c>
      <c r="C297">
        <v>20.8</v>
      </c>
      <c r="D297">
        <v>30.7</v>
      </c>
      <c r="E297">
        <v>98.2</v>
      </c>
      <c r="F297">
        <v>1</v>
      </c>
    </row>
    <row r="298" spans="1:6" x14ac:dyDescent="0.25">
      <c r="A298">
        <v>0</v>
      </c>
      <c r="B298">
        <v>12.4</v>
      </c>
      <c r="C298">
        <v>23</v>
      </c>
      <c r="D298">
        <v>32.200000000000003</v>
      </c>
      <c r="E298">
        <v>76.099999999999994</v>
      </c>
      <c r="F298">
        <v>0</v>
      </c>
    </row>
    <row r="299" spans="1:6" x14ac:dyDescent="0.25">
      <c r="A299">
        <v>1</v>
      </c>
      <c r="B299">
        <v>16.399999999999999</v>
      </c>
      <c r="C299">
        <v>18.7</v>
      </c>
      <c r="D299">
        <v>29.6</v>
      </c>
      <c r="E299">
        <v>96.4</v>
      </c>
      <c r="F299">
        <v>0</v>
      </c>
    </row>
    <row r="300" spans="1:6" x14ac:dyDescent="0.25">
      <c r="A300">
        <v>1</v>
      </c>
      <c r="B300">
        <v>10.4</v>
      </c>
      <c r="C300">
        <v>29.6</v>
      </c>
      <c r="D300">
        <v>28.3</v>
      </c>
      <c r="E300">
        <v>101</v>
      </c>
      <c r="F300">
        <v>1</v>
      </c>
    </row>
    <row r="301" spans="1:6" x14ac:dyDescent="0.25">
      <c r="A301">
        <v>1</v>
      </c>
      <c r="B301">
        <v>11.5</v>
      </c>
      <c r="C301">
        <v>26.1</v>
      </c>
      <c r="D301">
        <v>28.6</v>
      </c>
      <c r="E301">
        <v>91</v>
      </c>
      <c r="F301">
        <v>1</v>
      </c>
    </row>
    <row r="302" spans="1:6" x14ac:dyDescent="0.25">
      <c r="A302">
        <v>1</v>
      </c>
      <c r="B302">
        <v>11.1</v>
      </c>
      <c r="C302">
        <v>22.8</v>
      </c>
      <c r="D302">
        <v>28</v>
      </c>
      <c r="E302">
        <v>97.3</v>
      </c>
      <c r="F302">
        <v>1</v>
      </c>
    </row>
    <row r="303" spans="1:6" x14ac:dyDescent="0.25">
      <c r="A303">
        <v>0</v>
      </c>
      <c r="B303">
        <v>10.4</v>
      </c>
      <c r="C303">
        <v>23.4</v>
      </c>
      <c r="D303">
        <v>29.8</v>
      </c>
      <c r="E303">
        <v>92.5</v>
      </c>
      <c r="F303">
        <v>1</v>
      </c>
    </row>
    <row r="304" spans="1:6" x14ac:dyDescent="0.25">
      <c r="A304">
        <v>0</v>
      </c>
      <c r="B304">
        <v>10.4</v>
      </c>
      <c r="C304">
        <v>27.1</v>
      </c>
      <c r="D304">
        <v>29.8</v>
      </c>
      <c r="E304">
        <v>75.2</v>
      </c>
      <c r="F304">
        <v>1</v>
      </c>
    </row>
    <row r="305" spans="1:6" x14ac:dyDescent="0.25">
      <c r="A305">
        <v>0</v>
      </c>
      <c r="B305">
        <v>16.3</v>
      </c>
      <c r="C305">
        <v>28.6</v>
      </c>
      <c r="D305">
        <v>30.9</v>
      </c>
      <c r="E305">
        <v>99.9</v>
      </c>
      <c r="F305">
        <v>0</v>
      </c>
    </row>
    <row r="306" spans="1:6" x14ac:dyDescent="0.25">
      <c r="A306">
        <v>1</v>
      </c>
      <c r="B306">
        <v>11.5</v>
      </c>
      <c r="C306">
        <v>21.4</v>
      </c>
      <c r="D306">
        <v>32.5</v>
      </c>
      <c r="E306">
        <v>76.599999999999994</v>
      </c>
      <c r="F306">
        <v>1</v>
      </c>
    </row>
    <row r="307" spans="1:6" x14ac:dyDescent="0.25">
      <c r="A307">
        <v>0</v>
      </c>
      <c r="B307">
        <v>13.7</v>
      </c>
      <c r="C307">
        <v>17.100000000000001</v>
      </c>
      <c r="D307">
        <v>29.9</v>
      </c>
      <c r="E307">
        <v>78.400000000000006</v>
      </c>
      <c r="F307">
        <v>0</v>
      </c>
    </row>
    <row r="308" spans="1:6" x14ac:dyDescent="0.25">
      <c r="A308">
        <v>0</v>
      </c>
      <c r="B308">
        <v>11.2</v>
      </c>
      <c r="C308">
        <v>29.6</v>
      </c>
      <c r="D308">
        <v>30.3</v>
      </c>
      <c r="E308">
        <v>74</v>
      </c>
      <c r="F308">
        <v>1</v>
      </c>
    </row>
    <row r="309" spans="1:6" x14ac:dyDescent="0.25">
      <c r="A309">
        <v>1</v>
      </c>
      <c r="B309">
        <v>12.7</v>
      </c>
      <c r="C309">
        <v>23.6</v>
      </c>
      <c r="D309">
        <v>30.4</v>
      </c>
      <c r="E309">
        <v>69.8</v>
      </c>
      <c r="F309">
        <v>1</v>
      </c>
    </row>
    <row r="310" spans="1:6" x14ac:dyDescent="0.25">
      <c r="A310">
        <v>1</v>
      </c>
      <c r="B310">
        <v>11.2</v>
      </c>
      <c r="C310">
        <v>18.5</v>
      </c>
      <c r="D310">
        <v>29.3</v>
      </c>
      <c r="E310">
        <v>93.9</v>
      </c>
      <c r="F310">
        <v>1</v>
      </c>
    </row>
    <row r="311" spans="1:6" x14ac:dyDescent="0.25">
      <c r="A311">
        <v>1</v>
      </c>
      <c r="B311">
        <v>10.7</v>
      </c>
      <c r="C311">
        <v>21.3</v>
      </c>
      <c r="D311">
        <v>28.8</v>
      </c>
      <c r="E311">
        <v>78.3</v>
      </c>
      <c r="F311">
        <v>1</v>
      </c>
    </row>
    <row r="312" spans="1:6" x14ac:dyDescent="0.25">
      <c r="A312">
        <v>0</v>
      </c>
      <c r="B312">
        <v>12.1</v>
      </c>
      <c r="C312">
        <v>19.3</v>
      </c>
      <c r="D312">
        <v>30.3</v>
      </c>
      <c r="E312">
        <v>83.3</v>
      </c>
      <c r="F312">
        <v>0</v>
      </c>
    </row>
    <row r="313" spans="1:6" x14ac:dyDescent="0.25">
      <c r="A313">
        <v>1</v>
      </c>
      <c r="B313">
        <v>13</v>
      </c>
      <c r="C313">
        <v>21.4</v>
      </c>
      <c r="D313">
        <v>28.8</v>
      </c>
      <c r="E313">
        <v>78.400000000000006</v>
      </c>
      <c r="F313">
        <v>1</v>
      </c>
    </row>
    <row r="314" spans="1:6" x14ac:dyDescent="0.25">
      <c r="A314">
        <v>0</v>
      </c>
      <c r="B314">
        <v>13.2</v>
      </c>
      <c r="C314">
        <v>20.2</v>
      </c>
      <c r="D314">
        <v>28.5</v>
      </c>
      <c r="E314">
        <v>85.2</v>
      </c>
      <c r="F314">
        <v>0</v>
      </c>
    </row>
    <row r="315" spans="1:6" x14ac:dyDescent="0.25">
      <c r="A315">
        <v>0</v>
      </c>
      <c r="B315">
        <v>14.4</v>
      </c>
      <c r="C315">
        <v>29.8</v>
      </c>
      <c r="D315">
        <v>31.6</v>
      </c>
      <c r="E315">
        <v>92.4</v>
      </c>
      <c r="F315">
        <v>0</v>
      </c>
    </row>
    <row r="316" spans="1:6" x14ac:dyDescent="0.25">
      <c r="A316">
        <v>1</v>
      </c>
      <c r="B316">
        <v>13.7</v>
      </c>
      <c r="C316">
        <v>18.7</v>
      </c>
      <c r="D316">
        <v>30.3</v>
      </c>
      <c r="E316">
        <v>69.400000000000006</v>
      </c>
      <c r="F316">
        <v>0</v>
      </c>
    </row>
    <row r="317" spans="1:6" x14ac:dyDescent="0.25">
      <c r="A317">
        <v>1</v>
      </c>
      <c r="B317">
        <v>10.7</v>
      </c>
      <c r="C317">
        <v>19</v>
      </c>
      <c r="D317">
        <v>32.200000000000003</v>
      </c>
      <c r="E317">
        <v>77.099999999999994</v>
      </c>
      <c r="F317">
        <v>1</v>
      </c>
    </row>
    <row r="318" spans="1:6" x14ac:dyDescent="0.25">
      <c r="A318">
        <v>0</v>
      </c>
      <c r="B318">
        <v>16.3</v>
      </c>
      <c r="C318">
        <v>21.6</v>
      </c>
      <c r="D318">
        <v>32.299999999999997</v>
      </c>
      <c r="E318">
        <v>98.4</v>
      </c>
      <c r="F318">
        <v>0</v>
      </c>
    </row>
    <row r="319" spans="1:6" x14ac:dyDescent="0.25">
      <c r="A319">
        <v>0</v>
      </c>
      <c r="B319">
        <v>13.2</v>
      </c>
      <c r="C319">
        <v>23.5</v>
      </c>
      <c r="D319">
        <v>31.3</v>
      </c>
      <c r="E319">
        <v>85.9</v>
      </c>
      <c r="F319">
        <v>0</v>
      </c>
    </row>
    <row r="320" spans="1:6" x14ac:dyDescent="0.25">
      <c r="A320">
        <v>1</v>
      </c>
      <c r="B320">
        <v>12.3</v>
      </c>
      <c r="C320">
        <v>19.2</v>
      </c>
      <c r="D320">
        <v>28.1</v>
      </c>
      <c r="E320">
        <v>100.8</v>
      </c>
      <c r="F320">
        <v>1</v>
      </c>
    </row>
    <row r="321" spans="1:6" x14ac:dyDescent="0.25">
      <c r="A321">
        <v>1</v>
      </c>
      <c r="B321">
        <v>16.5</v>
      </c>
      <c r="C321">
        <v>26.4</v>
      </c>
      <c r="D321">
        <v>27.9</v>
      </c>
      <c r="E321">
        <v>101.5</v>
      </c>
      <c r="F321">
        <v>0</v>
      </c>
    </row>
    <row r="322" spans="1:6" x14ac:dyDescent="0.25">
      <c r="A322">
        <v>0</v>
      </c>
      <c r="B322">
        <v>11.8</v>
      </c>
      <c r="C322">
        <v>18.600000000000001</v>
      </c>
      <c r="D322">
        <v>29.4</v>
      </c>
      <c r="E322">
        <v>80.2</v>
      </c>
      <c r="F322">
        <v>1</v>
      </c>
    </row>
    <row r="323" spans="1:6" x14ac:dyDescent="0.25">
      <c r="A323">
        <v>1</v>
      </c>
      <c r="B323">
        <v>12.8</v>
      </c>
      <c r="C323">
        <v>16.3</v>
      </c>
      <c r="D323">
        <v>31.1</v>
      </c>
      <c r="E323">
        <v>100.9</v>
      </c>
      <c r="F323">
        <v>1</v>
      </c>
    </row>
    <row r="324" spans="1:6" x14ac:dyDescent="0.25">
      <c r="A324">
        <v>0</v>
      </c>
      <c r="B324">
        <v>11.1</v>
      </c>
      <c r="C324">
        <v>24.3</v>
      </c>
      <c r="D324">
        <v>32.5</v>
      </c>
      <c r="E324">
        <v>91</v>
      </c>
      <c r="F324">
        <v>1</v>
      </c>
    </row>
    <row r="325" spans="1:6" x14ac:dyDescent="0.25">
      <c r="A325">
        <v>0</v>
      </c>
      <c r="B325">
        <v>11.8</v>
      </c>
      <c r="C325">
        <v>20.6</v>
      </c>
      <c r="D325">
        <v>31.9</v>
      </c>
      <c r="E325">
        <v>99.7</v>
      </c>
      <c r="F325">
        <v>1</v>
      </c>
    </row>
    <row r="326" spans="1:6" x14ac:dyDescent="0.25">
      <c r="A326">
        <v>0</v>
      </c>
      <c r="B326">
        <v>13.5</v>
      </c>
      <c r="C326">
        <v>19</v>
      </c>
      <c r="D326">
        <v>28.8</v>
      </c>
      <c r="E326">
        <v>82.3</v>
      </c>
      <c r="F326">
        <v>0</v>
      </c>
    </row>
    <row r="327" spans="1:6" x14ac:dyDescent="0.25">
      <c r="A327">
        <v>1</v>
      </c>
      <c r="B327">
        <v>10.9</v>
      </c>
      <c r="C327">
        <v>30</v>
      </c>
      <c r="D327">
        <v>29.8</v>
      </c>
      <c r="E327">
        <v>98.5</v>
      </c>
      <c r="F327">
        <v>1</v>
      </c>
    </row>
    <row r="328" spans="1:6" x14ac:dyDescent="0.25">
      <c r="A328">
        <v>0</v>
      </c>
      <c r="B328">
        <v>13.4</v>
      </c>
      <c r="C328">
        <v>18.7</v>
      </c>
      <c r="D328">
        <v>31.9</v>
      </c>
      <c r="E328">
        <v>73.2</v>
      </c>
      <c r="F328">
        <v>0</v>
      </c>
    </row>
    <row r="329" spans="1:6" x14ac:dyDescent="0.25">
      <c r="A329">
        <v>1</v>
      </c>
      <c r="B329">
        <v>16</v>
      </c>
      <c r="C329">
        <v>28.8</v>
      </c>
      <c r="D329">
        <v>28.4</v>
      </c>
      <c r="E329">
        <v>86.4</v>
      </c>
      <c r="F329">
        <v>0</v>
      </c>
    </row>
    <row r="330" spans="1:6" x14ac:dyDescent="0.25">
      <c r="A330">
        <v>0</v>
      </c>
      <c r="B330">
        <v>10.3</v>
      </c>
      <c r="C330">
        <v>27</v>
      </c>
      <c r="D330">
        <v>32.4</v>
      </c>
      <c r="E330">
        <v>71.599999999999994</v>
      </c>
      <c r="F330">
        <v>1</v>
      </c>
    </row>
    <row r="331" spans="1:6" x14ac:dyDescent="0.25">
      <c r="A331">
        <v>1</v>
      </c>
      <c r="B331">
        <v>11.4</v>
      </c>
      <c r="C331">
        <v>21</v>
      </c>
      <c r="D331">
        <v>31.7</v>
      </c>
      <c r="E331">
        <v>88.9</v>
      </c>
      <c r="F331">
        <v>1</v>
      </c>
    </row>
    <row r="332" spans="1:6" x14ac:dyDescent="0.25">
      <c r="A332">
        <v>0</v>
      </c>
      <c r="B332">
        <v>16.5</v>
      </c>
      <c r="C332">
        <v>27.6</v>
      </c>
      <c r="D332">
        <v>29.3</v>
      </c>
      <c r="E332">
        <v>77.8</v>
      </c>
      <c r="F332">
        <v>0</v>
      </c>
    </row>
    <row r="333" spans="1:6" x14ac:dyDescent="0.25">
      <c r="A333">
        <v>1</v>
      </c>
      <c r="B333">
        <v>11.6</v>
      </c>
      <c r="C333">
        <v>24.3</v>
      </c>
      <c r="D333">
        <v>29.1</v>
      </c>
      <c r="E333">
        <v>85.7</v>
      </c>
      <c r="F333">
        <v>1</v>
      </c>
    </row>
    <row r="334" spans="1:6" x14ac:dyDescent="0.25">
      <c r="A334">
        <v>0</v>
      </c>
      <c r="B334">
        <v>11</v>
      </c>
      <c r="C334">
        <v>19.5</v>
      </c>
      <c r="D334">
        <v>31.7</v>
      </c>
      <c r="E334">
        <v>77.099999999999994</v>
      </c>
      <c r="F334">
        <v>1</v>
      </c>
    </row>
    <row r="335" spans="1:6" x14ac:dyDescent="0.25">
      <c r="A335">
        <v>1</v>
      </c>
      <c r="B335">
        <v>12.9</v>
      </c>
      <c r="C335">
        <v>27.4</v>
      </c>
      <c r="D335">
        <v>28.2</v>
      </c>
      <c r="E335">
        <v>78.8</v>
      </c>
      <c r="F335">
        <v>1</v>
      </c>
    </row>
    <row r="336" spans="1:6" x14ac:dyDescent="0.25">
      <c r="A336">
        <v>1</v>
      </c>
      <c r="B336">
        <v>11.8</v>
      </c>
      <c r="C336">
        <v>22</v>
      </c>
      <c r="D336">
        <v>29.3</v>
      </c>
      <c r="E336">
        <v>71.099999999999994</v>
      </c>
      <c r="F336">
        <v>1</v>
      </c>
    </row>
    <row r="337" spans="1:6" x14ac:dyDescent="0.25">
      <c r="A337">
        <v>0</v>
      </c>
      <c r="B337">
        <v>15.5</v>
      </c>
      <c r="C337">
        <v>16.899999999999999</v>
      </c>
      <c r="D337">
        <v>31.2</v>
      </c>
      <c r="E337">
        <v>95.9</v>
      </c>
      <c r="F337">
        <v>0</v>
      </c>
    </row>
    <row r="338" spans="1:6" x14ac:dyDescent="0.25">
      <c r="A338">
        <v>1</v>
      </c>
      <c r="B338">
        <v>16.7</v>
      </c>
      <c r="C338">
        <v>24.8</v>
      </c>
      <c r="D338">
        <v>29.6</v>
      </c>
      <c r="E338">
        <v>93.4</v>
      </c>
      <c r="F338">
        <v>0</v>
      </c>
    </row>
    <row r="339" spans="1:6" x14ac:dyDescent="0.25">
      <c r="A339">
        <v>1</v>
      </c>
      <c r="B339">
        <v>12.5</v>
      </c>
      <c r="C339">
        <v>25.2</v>
      </c>
      <c r="D339">
        <v>31.5</v>
      </c>
      <c r="E339">
        <v>91.7</v>
      </c>
      <c r="F339">
        <v>1</v>
      </c>
    </row>
    <row r="340" spans="1:6" x14ac:dyDescent="0.25">
      <c r="A340">
        <v>0</v>
      </c>
      <c r="B340">
        <v>10.4</v>
      </c>
      <c r="C340">
        <v>20</v>
      </c>
      <c r="D340">
        <v>32.200000000000003</v>
      </c>
      <c r="E340">
        <v>101.2</v>
      </c>
      <c r="F340">
        <v>1</v>
      </c>
    </row>
    <row r="341" spans="1:6" x14ac:dyDescent="0.25">
      <c r="A341">
        <v>1</v>
      </c>
      <c r="B341">
        <v>10.4</v>
      </c>
      <c r="C341">
        <v>17.100000000000001</v>
      </c>
      <c r="D341">
        <v>31.4</v>
      </c>
      <c r="E341">
        <v>90.6</v>
      </c>
      <c r="F341">
        <v>1</v>
      </c>
    </row>
    <row r="342" spans="1:6" x14ac:dyDescent="0.25">
      <c r="A342">
        <v>1</v>
      </c>
      <c r="B342">
        <v>12.8</v>
      </c>
      <c r="C342">
        <v>20.3</v>
      </c>
      <c r="D342">
        <v>31.1</v>
      </c>
      <c r="E342">
        <v>100.1</v>
      </c>
      <c r="F342">
        <v>1</v>
      </c>
    </row>
    <row r="343" spans="1:6" x14ac:dyDescent="0.25">
      <c r="A343">
        <v>1</v>
      </c>
      <c r="B343">
        <v>14.4</v>
      </c>
      <c r="C343">
        <v>18.399999999999999</v>
      </c>
      <c r="D343">
        <v>32.1</v>
      </c>
      <c r="E343">
        <v>95.6</v>
      </c>
      <c r="F343">
        <v>0</v>
      </c>
    </row>
    <row r="344" spans="1:6" x14ac:dyDescent="0.25">
      <c r="A344">
        <v>1</v>
      </c>
      <c r="B344">
        <v>11.7</v>
      </c>
      <c r="C344">
        <v>18.399999999999999</v>
      </c>
      <c r="D344">
        <v>32.1</v>
      </c>
      <c r="E344">
        <v>74.8</v>
      </c>
      <c r="F344">
        <v>1</v>
      </c>
    </row>
    <row r="345" spans="1:6" x14ac:dyDescent="0.25">
      <c r="A345">
        <v>0</v>
      </c>
      <c r="B345">
        <v>14.8</v>
      </c>
      <c r="C345">
        <v>20.399999999999999</v>
      </c>
      <c r="D345">
        <v>28.5</v>
      </c>
      <c r="E345">
        <v>91.1</v>
      </c>
      <c r="F345">
        <v>0</v>
      </c>
    </row>
    <row r="346" spans="1:6" x14ac:dyDescent="0.25">
      <c r="A346">
        <v>1</v>
      </c>
      <c r="B346">
        <v>11.9</v>
      </c>
      <c r="C346">
        <v>22.8</v>
      </c>
      <c r="D346">
        <v>32.1</v>
      </c>
      <c r="E346">
        <v>101.2</v>
      </c>
      <c r="F346">
        <v>1</v>
      </c>
    </row>
    <row r="347" spans="1:6" x14ac:dyDescent="0.25">
      <c r="A347">
        <v>1</v>
      </c>
      <c r="B347">
        <v>11.5</v>
      </c>
      <c r="C347">
        <v>24.1</v>
      </c>
      <c r="D347">
        <v>30.8</v>
      </c>
      <c r="E347">
        <v>74.7</v>
      </c>
      <c r="F347">
        <v>1</v>
      </c>
    </row>
    <row r="348" spans="1:6" x14ac:dyDescent="0.25">
      <c r="A348">
        <v>0</v>
      </c>
      <c r="B348">
        <v>13.3</v>
      </c>
      <c r="C348">
        <v>16.399999999999999</v>
      </c>
      <c r="D348">
        <v>29.1</v>
      </c>
      <c r="E348">
        <v>70</v>
      </c>
      <c r="F348">
        <v>0</v>
      </c>
    </row>
    <row r="349" spans="1:6" x14ac:dyDescent="0.25">
      <c r="A349">
        <v>1</v>
      </c>
      <c r="B349">
        <v>13.1</v>
      </c>
      <c r="C349">
        <v>25.6</v>
      </c>
      <c r="D349">
        <v>28.4</v>
      </c>
      <c r="E349">
        <v>77.5</v>
      </c>
      <c r="F349">
        <v>1</v>
      </c>
    </row>
    <row r="350" spans="1:6" x14ac:dyDescent="0.25">
      <c r="A350">
        <v>0</v>
      </c>
      <c r="B350">
        <v>15.5</v>
      </c>
      <c r="C350">
        <v>21.9</v>
      </c>
      <c r="D350">
        <v>31.4</v>
      </c>
      <c r="E350">
        <v>100.5</v>
      </c>
      <c r="F350">
        <v>0</v>
      </c>
    </row>
    <row r="351" spans="1:6" x14ac:dyDescent="0.25">
      <c r="A351">
        <v>0</v>
      </c>
      <c r="B351">
        <v>6.6</v>
      </c>
      <c r="C351">
        <v>28.7</v>
      </c>
      <c r="D351">
        <v>31</v>
      </c>
      <c r="E351">
        <v>81.599999999999994</v>
      </c>
      <c r="F351">
        <v>1</v>
      </c>
    </row>
    <row r="352" spans="1:6" x14ac:dyDescent="0.25">
      <c r="A352">
        <v>1</v>
      </c>
      <c r="B352">
        <v>15.3</v>
      </c>
      <c r="C352">
        <v>25.3</v>
      </c>
      <c r="D352">
        <v>32.200000000000003</v>
      </c>
      <c r="E352">
        <v>96.6</v>
      </c>
      <c r="F352">
        <v>0</v>
      </c>
    </row>
    <row r="353" spans="1:6" x14ac:dyDescent="0.25">
      <c r="A353">
        <v>1</v>
      </c>
      <c r="B353">
        <v>10</v>
      </c>
      <c r="C353">
        <v>20.9</v>
      </c>
      <c r="D353">
        <v>31.2</v>
      </c>
      <c r="E353">
        <v>72.5</v>
      </c>
      <c r="F353">
        <v>1</v>
      </c>
    </row>
    <row r="354" spans="1:6" x14ac:dyDescent="0.25">
      <c r="A354">
        <v>1</v>
      </c>
      <c r="B354">
        <v>16.899999999999999</v>
      </c>
      <c r="C354">
        <v>24.2</v>
      </c>
      <c r="D354">
        <v>32.1</v>
      </c>
      <c r="E354">
        <v>92.5</v>
      </c>
      <c r="F354">
        <v>0</v>
      </c>
    </row>
    <row r="355" spans="1:6" x14ac:dyDescent="0.25">
      <c r="A355">
        <v>0</v>
      </c>
      <c r="B355">
        <v>12.8</v>
      </c>
      <c r="C355">
        <v>22.9</v>
      </c>
      <c r="D355">
        <v>28.8</v>
      </c>
      <c r="E355">
        <v>72</v>
      </c>
      <c r="F355">
        <v>0</v>
      </c>
    </row>
    <row r="356" spans="1:6" x14ac:dyDescent="0.25">
      <c r="A356">
        <v>0</v>
      </c>
      <c r="B356">
        <v>16.100000000000001</v>
      </c>
      <c r="C356">
        <v>20.8</v>
      </c>
      <c r="D356">
        <v>31.2</v>
      </c>
      <c r="E356">
        <v>79.099999999999994</v>
      </c>
      <c r="F356">
        <v>0</v>
      </c>
    </row>
    <row r="357" spans="1:6" x14ac:dyDescent="0.25">
      <c r="A357">
        <v>1</v>
      </c>
      <c r="B357">
        <v>16.5</v>
      </c>
      <c r="C357">
        <v>21.9</v>
      </c>
      <c r="D357">
        <v>30.7</v>
      </c>
      <c r="E357">
        <v>71.099999999999994</v>
      </c>
      <c r="F357">
        <v>0</v>
      </c>
    </row>
    <row r="358" spans="1:6" x14ac:dyDescent="0.25">
      <c r="A358">
        <v>0</v>
      </c>
      <c r="B358">
        <v>13.4</v>
      </c>
      <c r="C358">
        <v>27.9</v>
      </c>
      <c r="D358">
        <v>29</v>
      </c>
      <c r="E358">
        <v>84.4</v>
      </c>
      <c r="F358">
        <v>0</v>
      </c>
    </row>
    <row r="359" spans="1:6" x14ac:dyDescent="0.25">
      <c r="A359">
        <v>1</v>
      </c>
      <c r="B359">
        <v>12.1</v>
      </c>
      <c r="C359">
        <v>19.899999999999999</v>
      </c>
      <c r="D359">
        <v>32.4</v>
      </c>
      <c r="E359">
        <v>90.9</v>
      </c>
      <c r="F359">
        <v>1</v>
      </c>
    </row>
    <row r="360" spans="1:6" x14ac:dyDescent="0.25">
      <c r="A360">
        <v>0</v>
      </c>
      <c r="B360">
        <v>12.2</v>
      </c>
      <c r="C360">
        <v>23.3</v>
      </c>
      <c r="D360">
        <v>30.4</v>
      </c>
      <c r="E360">
        <v>100.2</v>
      </c>
      <c r="F360">
        <v>0</v>
      </c>
    </row>
    <row r="361" spans="1:6" x14ac:dyDescent="0.25">
      <c r="A361">
        <v>1</v>
      </c>
      <c r="B361">
        <v>15.4</v>
      </c>
      <c r="C361">
        <v>23</v>
      </c>
      <c r="D361">
        <v>30.3</v>
      </c>
      <c r="E361">
        <v>87.7</v>
      </c>
      <c r="F361">
        <v>0</v>
      </c>
    </row>
    <row r="362" spans="1:6" x14ac:dyDescent="0.25">
      <c r="A362">
        <v>0</v>
      </c>
      <c r="B362">
        <v>10.7</v>
      </c>
      <c r="C362">
        <v>27.9</v>
      </c>
      <c r="D362">
        <v>31.3</v>
      </c>
      <c r="E362">
        <v>86.4</v>
      </c>
      <c r="F362">
        <v>1</v>
      </c>
    </row>
    <row r="363" spans="1:6" x14ac:dyDescent="0.25">
      <c r="A363">
        <v>0</v>
      </c>
      <c r="B363">
        <v>8.9</v>
      </c>
      <c r="C363">
        <v>18.3</v>
      </c>
      <c r="D363">
        <v>31.7</v>
      </c>
      <c r="E363">
        <v>82.8</v>
      </c>
      <c r="F363">
        <v>1</v>
      </c>
    </row>
    <row r="364" spans="1:6" x14ac:dyDescent="0.25">
      <c r="A364">
        <v>1</v>
      </c>
      <c r="B364">
        <v>14.3</v>
      </c>
      <c r="C364">
        <v>17.5</v>
      </c>
      <c r="D364">
        <v>30.6</v>
      </c>
      <c r="E364">
        <v>75</v>
      </c>
      <c r="F364">
        <v>0</v>
      </c>
    </row>
    <row r="365" spans="1:6" x14ac:dyDescent="0.25">
      <c r="A365">
        <v>1</v>
      </c>
      <c r="B365">
        <v>11.7</v>
      </c>
      <c r="C365">
        <v>24.5</v>
      </c>
      <c r="D365">
        <v>31.1</v>
      </c>
      <c r="E365">
        <v>86.1</v>
      </c>
      <c r="F365">
        <v>1</v>
      </c>
    </row>
    <row r="366" spans="1:6" x14ac:dyDescent="0.25">
      <c r="A366">
        <v>1</v>
      </c>
      <c r="B366">
        <v>13.3</v>
      </c>
      <c r="C366">
        <v>25.1</v>
      </c>
      <c r="D366">
        <v>30.6</v>
      </c>
      <c r="E366">
        <v>73.7</v>
      </c>
      <c r="F366">
        <v>1</v>
      </c>
    </row>
    <row r="367" spans="1:6" x14ac:dyDescent="0.25">
      <c r="A367">
        <v>0</v>
      </c>
      <c r="B367">
        <v>16.3</v>
      </c>
      <c r="C367">
        <v>19.7</v>
      </c>
      <c r="D367">
        <v>31.6</v>
      </c>
      <c r="E367">
        <v>75.400000000000006</v>
      </c>
      <c r="F367">
        <v>0</v>
      </c>
    </row>
    <row r="368" spans="1:6" x14ac:dyDescent="0.25">
      <c r="A368">
        <v>0</v>
      </c>
      <c r="B368">
        <v>12.2</v>
      </c>
      <c r="C368">
        <v>17.600000000000001</v>
      </c>
      <c r="D368">
        <v>30.7</v>
      </c>
      <c r="E368">
        <v>88.8</v>
      </c>
      <c r="F368">
        <v>0</v>
      </c>
    </row>
    <row r="369" spans="1:6" x14ac:dyDescent="0.25">
      <c r="A369">
        <v>0</v>
      </c>
      <c r="B369">
        <v>9.1999999999999993</v>
      </c>
      <c r="C369">
        <v>21.5</v>
      </c>
      <c r="D369">
        <v>31.6</v>
      </c>
      <c r="E369">
        <v>99.7</v>
      </c>
      <c r="F369">
        <v>1</v>
      </c>
    </row>
    <row r="370" spans="1:6" x14ac:dyDescent="0.25">
      <c r="A370">
        <v>1</v>
      </c>
      <c r="B370">
        <v>13.9</v>
      </c>
      <c r="C370">
        <v>20.6</v>
      </c>
      <c r="D370">
        <v>29.2</v>
      </c>
      <c r="E370">
        <v>98.5</v>
      </c>
      <c r="F370">
        <v>0</v>
      </c>
    </row>
    <row r="371" spans="1:6" x14ac:dyDescent="0.25">
      <c r="A371">
        <v>0</v>
      </c>
      <c r="B371">
        <v>11.2</v>
      </c>
      <c r="C371">
        <v>16.600000000000001</v>
      </c>
      <c r="D371">
        <v>30.2</v>
      </c>
      <c r="E371">
        <v>79.8</v>
      </c>
      <c r="F371">
        <v>1</v>
      </c>
    </row>
    <row r="372" spans="1:6" x14ac:dyDescent="0.25">
      <c r="A372">
        <v>1</v>
      </c>
      <c r="B372">
        <v>16.5</v>
      </c>
      <c r="C372">
        <v>18.5</v>
      </c>
      <c r="D372">
        <v>28.4</v>
      </c>
      <c r="E372">
        <v>91.6</v>
      </c>
      <c r="F372">
        <v>0</v>
      </c>
    </row>
    <row r="373" spans="1:6" x14ac:dyDescent="0.25">
      <c r="A373">
        <v>1</v>
      </c>
      <c r="B373">
        <v>11</v>
      </c>
      <c r="C373">
        <v>25</v>
      </c>
      <c r="D373">
        <v>30.4</v>
      </c>
      <c r="E373">
        <v>81.400000000000006</v>
      </c>
      <c r="F373">
        <v>1</v>
      </c>
    </row>
    <row r="374" spans="1:6" x14ac:dyDescent="0.25">
      <c r="A374">
        <v>1</v>
      </c>
      <c r="B374">
        <v>13</v>
      </c>
      <c r="C374">
        <v>28.6</v>
      </c>
      <c r="D374">
        <v>32.200000000000003</v>
      </c>
      <c r="E374">
        <v>69.8</v>
      </c>
      <c r="F374">
        <v>1</v>
      </c>
    </row>
    <row r="375" spans="1:6" x14ac:dyDescent="0.25">
      <c r="A375">
        <v>0</v>
      </c>
      <c r="B375">
        <v>9.9</v>
      </c>
      <c r="C375">
        <v>16.7</v>
      </c>
      <c r="D375">
        <v>30</v>
      </c>
      <c r="E375">
        <v>78.400000000000006</v>
      </c>
      <c r="F375">
        <v>1</v>
      </c>
    </row>
    <row r="376" spans="1:6" x14ac:dyDescent="0.25">
      <c r="A376">
        <v>1</v>
      </c>
      <c r="B376">
        <v>13.7</v>
      </c>
      <c r="C376">
        <v>24.1</v>
      </c>
      <c r="D376">
        <v>27.8</v>
      </c>
      <c r="E376">
        <v>86.3</v>
      </c>
      <c r="F376">
        <v>0</v>
      </c>
    </row>
    <row r="377" spans="1:6" x14ac:dyDescent="0.25">
      <c r="A377">
        <v>1</v>
      </c>
      <c r="B377">
        <v>16.8</v>
      </c>
      <c r="C377">
        <v>24.3</v>
      </c>
      <c r="D377">
        <v>30.5</v>
      </c>
      <c r="E377">
        <v>90.7</v>
      </c>
      <c r="F377">
        <v>0</v>
      </c>
    </row>
    <row r="378" spans="1:6" x14ac:dyDescent="0.25">
      <c r="A378">
        <v>0</v>
      </c>
      <c r="B378">
        <v>13.4</v>
      </c>
      <c r="C378">
        <v>21.5</v>
      </c>
      <c r="D378">
        <v>30.4</v>
      </c>
      <c r="E378">
        <v>92.7</v>
      </c>
      <c r="F378">
        <v>0</v>
      </c>
    </row>
    <row r="379" spans="1:6" x14ac:dyDescent="0.25">
      <c r="A379">
        <v>1</v>
      </c>
      <c r="B379">
        <v>13.7</v>
      </c>
      <c r="C379">
        <v>23.5</v>
      </c>
      <c r="D379">
        <v>29</v>
      </c>
      <c r="E379">
        <v>70.599999999999994</v>
      </c>
      <c r="F379">
        <v>0</v>
      </c>
    </row>
    <row r="380" spans="1:6" x14ac:dyDescent="0.25">
      <c r="A380">
        <v>0</v>
      </c>
      <c r="B380">
        <v>11.6</v>
      </c>
      <c r="C380">
        <v>17.5</v>
      </c>
      <c r="D380">
        <v>31.6</v>
      </c>
      <c r="E380">
        <v>70.5</v>
      </c>
      <c r="F380">
        <v>1</v>
      </c>
    </row>
    <row r="381" spans="1:6" x14ac:dyDescent="0.25">
      <c r="A381">
        <v>1</v>
      </c>
      <c r="B381">
        <v>13.7</v>
      </c>
      <c r="C381">
        <v>18</v>
      </c>
      <c r="D381">
        <v>31.1</v>
      </c>
      <c r="E381">
        <v>89.2</v>
      </c>
      <c r="F381">
        <v>0</v>
      </c>
    </row>
    <row r="382" spans="1:6" x14ac:dyDescent="0.25">
      <c r="A382">
        <v>0</v>
      </c>
      <c r="B382">
        <v>13.1</v>
      </c>
      <c r="C382">
        <v>20</v>
      </c>
      <c r="D382">
        <v>29.7</v>
      </c>
      <c r="E382">
        <v>89.7</v>
      </c>
      <c r="F382">
        <v>0</v>
      </c>
    </row>
    <row r="383" spans="1:6" x14ac:dyDescent="0.25">
      <c r="A383">
        <v>1</v>
      </c>
      <c r="B383">
        <v>11.1</v>
      </c>
      <c r="C383">
        <v>22.1</v>
      </c>
      <c r="D383">
        <v>29.4</v>
      </c>
      <c r="E383">
        <v>97</v>
      </c>
      <c r="F383">
        <v>1</v>
      </c>
    </row>
    <row r="384" spans="1:6" x14ac:dyDescent="0.25">
      <c r="A384">
        <v>1</v>
      </c>
      <c r="B384">
        <v>11.7</v>
      </c>
      <c r="C384">
        <v>18.100000000000001</v>
      </c>
      <c r="D384">
        <v>31.4</v>
      </c>
      <c r="E384">
        <v>83.5</v>
      </c>
      <c r="F384">
        <v>1</v>
      </c>
    </row>
    <row r="385" spans="1:6" x14ac:dyDescent="0.25">
      <c r="A385">
        <v>0</v>
      </c>
      <c r="B385">
        <v>15.8</v>
      </c>
      <c r="C385">
        <v>28.6</v>
      </c>
      <c r="D385">
        <v>31.1</v>
      </c>
      <c r="E385">
        <v>96.6</v>
      </c>
      <c r="F385">
        <v>0</v>
      </c>
    </row>
    <row r="386" spans="1:6" x14ac:dyDescent="0.25">
      <c r="A386">
        <v>1</v>
      </c>
      <c r="B386">
        <v>15.4</v>
      </c>
      <c r="C386">
        <v>18.5</v>
      </c>
      <c r="D386">
        <v>31.5</v>
      </c>
      <c r="E386">
        <v>72.2</v>
      </c>
      <c r="F386">
        <v>0</v>
      </c>
    </row>
    <row r="387" spans="1:6" x14ac:dyDescent="0.25">
      <c r="A387">
        <v>0</v>
      </c>
      <c r="B387">
        <v>14.6</v>
      </c>
      <c r="C387">
        <v>22.7</v>
      </c>
      <c r="D387">
        <v>28.1</v>
      </c>
      <c r="E387">
        <v>93.8</v>
      </c>
      <c r="F387">
        <v>0</v>
      </c>
    </row>
    <row r="388" spans="1:6" x14ac:dyDescent="0.25">
      <c r="A388">
        <v>1</v>
      </c>
      <c r="B388">
        <v>11.8</v>
      </c>
      <c r="C388">
        <v>24.4</v>
      </c>
      <c r="D388">
        <v>30.6</v>
      </c>
      <c r="E388">
        <v>77.400000000000006</v>
      </c>
      <c r="F388">
        <v>1</v>
      </c>
    </row>
    <row r="389" spans="1:6" x14ac:dyDescent="0.25">
      <c r="A389">
        <v>1</v>
      </c>
      <c r="B389">
        <v>12.4</v>
      </c>
      <c r="C389">
        <v>19</v>
      </c>
      <c r="D389">
        <v>31.9</v>
      </c>
      <c r="E389">
        <v>73.7</v>
      </c>
      <c r="F389">
        <v>1</v>
      </c>
    </row>
    <row r="390" spans="1:6" x14ac:dyDescent="0.25">
      <c r="A390">
        <v>1</v>
      </c>
      <c r="B390">
        <v>12.7</v>
      </c>
      <c r="C390">
        <v>29</v>
      </c>
      <c r="D390">
        <v>31.6</v>
      </c>
      <c r="E390">
        <v>78.599999999999994</v>
      </c>
      <c r="F390">
        <v>1</v>
      </c>
    </row>
    <row r="391" spans="1:6" x14ac:dyDescent="0.25">
      <c r="A391">
        <v>1</v>
      </c>
      <c r="B391">
        <v>10.9</v>
      </c>
      <c r="C391">
        <v>29.4</v>
      </c>
      <c r="D391">
        <v>31.1</v>
      </c>
      <c r="E391">
        <v>91.7</v>
      </c>
      <c r="F391">
        <v>1</v>
      </c>
    </row>
    <row r="392" spans="1:6" x14ac:dyDescent="0.25">
      <c r="A392">
        <v>1</v>
      </c>
      <c r="B392">
        <v>11.5</v>
      </c>
      <c r="C392">
        <v>21.4</v>
      </c>
      <c r="D392">
        <v>28.7</v>
      </c>
      <c r="E392">
        <v>98.6</v>
      </c>
      <c r="F392">
        <v>1</v>
      </c>
    </row>
    <row r="393" spans="1:6" x14ac:dyDescent="0.25">
      <c r="A393">
        <v>1</v>
      </c>
      <c r="B393">
        <v>12.8</v>
      </c>
      <c r="C393">
        <v>17.8</v>
      </c>
      <c r="D393">
        <v>29.1</v>
      </c>
      <c r="E393">
        <v>79.400000000000006</v>
      </c>
      <c r="F393">
        <v>1</v>
      </c>
    </row>
    <row r="394" spans="1:6" x14ac:dyDescent="0.25">
      <c r="A394">
        <v>1</v>
      </c>
      <c r="B394">
        <v>16.100000000000001</v>
      </c>
      <c r="C394">
        <v>21.6</v>
      </c>
      <c r="D394">
        <v>28.8</v>
      </c>
      <c r="E394">
        <v>96.1</v>
      </c>
      <c r="F394">
        <v>0</v>
      </c>
    </row>
    <row r="395" spans="1:6" x14ac:dyDescent="0.25">
      <c r="A395">
        <v>0</v>
      </c>
      <c r="B395">
        <v>13.1</v>
      </c>
      <c r="C395">
        <v>21.6</v>
      </c>
      <c r="D395">
        <v>29.2</v>
      </c>
      <c r="E395">
        <v>89.6</v>
      </c>
      <c r="F395">
        <v>0</v>
      </c>
    </row>
    <row r="396" spans="1:6" x14ac:dyDescent="0.25">
      <c r="A396">
        <v>0</v>
      </c>
      <c r="B396">
        <v>13.9</v>
      </c>
      <c r="C396">
        <v>29.7</v>
      </c>
      <c r="D396">
        <v>28.4</v>
      </c>
      <c r="E396">
        <v>70.7</v>
      </c>
      <c r="F396">
        <v>0</v>
      </c>
    </row>
    <row r="397" spans="1:6" x14ac:dyDescent="0.25">
      <c r="A397">
        <v>1</v>
      </c>
      <c r="B397">
        <v>13.9</v>
      </c>
      <c r="C397">
        <v>25.9</v>
      </c>
      <c r="D397">
        <v>31.3</v>
      </c>
      <c r="E397">
        <v>71.2</v>
      </c>
      <c r="F397">
        <v>0</v>
      </c>
    </row>
    <row r="398" spans="1:6" x14ac:dyDescent="0.25">
      <c r="A398">
        <v>1</v>
      </c>
      <c r="B398">
        <v>15.7</v>
      </c>
      <c r="C398">
        <v>17.7</v>
      </c>
      <c r="D398">
        <v>28.3</v>
      </c>
      <c r="E398">
        <v>76.8</v>
      </c>
      <c r="F398">
        <v>0</v>
      </c>
    </row>
    <row r="399" spans="1:6" x14ac:dyDescent="0.25">
      <c r="A399">
        <v>1</v>
      </c>
      <c r="B399">
        <v>15.6</v>
      </c>
      <c r="C399">
        <v>19.399999999999999</v>
      </c>
      <c r="D399">
        <v>29.4</v>
      </c>
      <c r="E399">
        <v>88.2</v>
      </c>
      <c r="F399">
        <v>0</v>
      </c>
    </row>
    <row r="400" spans="1:6" x14ac:dyDescent="0.25">
      <c r="A400">
        <v>1</v>
      </c>
      <c r="B400">
        <v>14.7</v>
      </c>
      <c r="C400">
        <v>22.3</v>
      </c>
      <c r="D400">
        <v>28.6</v>
      </c>
      <c r="E400">
        <v>89.5</v>
      </c>
      <c r="F400">
        <v>0</v>
      </c>
    </row>
    <row r="401" spans="1:6" x14ac:dyDescent="0.25">
      <c r="A401">
        <v>1</v>
      </c>
      <c r="B401">
        <v>12</v>
      </c>
      <c r="C401">
        <v>23.6</v>
      </c>
      <c r="D401">
        <v>28.3</v>
      </c>
      <c r="E401">
        <v>89.8</v>
      </c>
      <c r="F401">
        <v>1</v>
      </c>
    </row>
    <row r="402" spans="1:6" x14ac:dyDescent="0.25">
      <c r="A402">
        <v>1</v>
      </c>
      <c r="B402">
        <v>12.1</v>
      </c>
      <c r="C402">
        <v>21.7</v>
      </c>
      <c r="D402">
        <v>30.9</v>
      </c>
      <c r="E402">
        <v>70.8</v>
      </c>
      <c r="F402">
        <v>1</v>
      </c>
    </row>
    <row r="403" spans="1:6" x14ac:dyDescent="0.25">
      <c r="A403">
        <v>0</v>
      </c>
      <c r="B403">
        <v>11.1</v>
      </c>
      <c r="C403">
        <v>29.8</v>
      </c>
      <c r="D403">
        <v>29.2</v>
      </c>
      <c r="E403">
        <v>78</v>
      </c>
      <c r="F403">
        <v>1</v>
      </c>
    </row>
    <row r="404" spans="1:6" x14ac:dyDescent="0.25">
      <c r="A404">
        <v>0</v>
      </c>
      <c r="B404">
        <v>13.8</v>
      </c>
      <c r="C404">
        <v>17.899999999999999</v>
      </c>
      <c r="D404">
        <v>29.1</v>
      </c>
      <c r="E404">
        <v>80.900000000000006</v>
      </c>
      <c r="F404">
        <v>0</v>
      </c>
    </row>
    <row r="405" spans="1:6" x14ac:dyDescent="0.25">
      <c r="A405">
        <v>1</v>
      </c>
      <c r="B405">
        <v>11.7</v>
      </c>
      <c r="C405">
        <v>28.1</v>
      </c>
      <c r="D405">
        <v>31.9</v>
      </c>
      <c r="E405">
        <v>72.7</v>
      </c>
      <c r="F405">
        <v>1</v>
      </c>
    </row>
    <row r="406" spans="1:6" x14ac:dyDescent="0.25">
      <c r="A406">
        <v>1</v>
      </c>
      <c r="B406">
        <v>16.7</v>
      </c>
      <c r="C406">
        <v>16.5</v>
      </c>
      <c r="D406">
        <v>30.5</v>
      </c>
      <c r="E406">
        <v>94.5</v>
      </c>
      <c r="F406">
        <v>0</v>
      </c>
    </row>
    <row r="407" spans="1:6" x14ac:dyDescent="0.25">
      <c r="A407">
        <v>0</v>
      </c>
      <c r="B407">
        <v>11.1</v>
      </c>
      <c r="C407">
        <v>29.3</v>
      </c>
      <c r="D407">
        <v>32.200000000000003</v>
      </c>
      <c r="E407">
        <v>78.7</v>
      </c>
      <c r="F407">
        <v>1</v>
      </c>
    </row>
    <row r="408" spans="1:6" x14ac:dyDescent="0.25">
      <c r="A408">
        <v>1</v>
      </c>
      <c r="B408">
        <v>13.1</v>
      </c>
      <c r="C408">
        <v>22.2</v>
      </c>
      <c r="D408">
        <v>31.5</v>
      </c>
      <c r="E408">
        <v>87.3</v>
      </c>
      <c r="F408">
        <v>1</v>
      </c>
    </row>
    <row r="409" spans="1:6" x14ac:dyDescent="0.25">
      <c r="A409">
        <v>1</v>
      </c>
      <c r="B409">
        <v>11.1</v>
      </c>
      <c r="C409">
        <v>21.2</v>
      </c>
      <c r="D409">
        <v>31</v>
      </c>
      <c r="E409">
        <v>87</v>
      </c>
      <c r="F409">
        <v>1</v>
      </c>
    </row>
    <row r="410" spans="1:6" x14ac:dyDescent="0.25">
      <c r="A410">
        <v>1</v>
      </c>
      <c r="B410">
        <v>12.4</v>
      </c>
      <c r="C410">
        <v>23.3</v>
      </c>
      <c r="D410">
        <v>31.3</v>
      </c>
      <c r="E410">
        <v>70.099999999999994</v>
      </c>
      <c r="F410">
        <v>1</v>
      </c>
    </row>
    <row r="411" spans="1:6" x14ac:dyDescent="0.25">
      <c r="A411">
        <v>0</v>
      </c>
      <c r="B411">
        <v>15.5</v>
      </c>
      <c r="C411">
        <v>25.5</v>
      </c>
      <c r="D411">
        <v>27.8</v>
      </c>
      <c r="E411">
        <v>70.900000000000006</v>
      </c>
      <c r="F411">
        <v>0</v>
      </c>
    </row>
    <row r="412" spans="1:6" x14ac:dyDescent="0.25">
      <c r="A412">
        <v>0</v>
      </c>
      <c r="B412">
        <v>11.2</v>
      </c>
      <c r="C412">
        <v>20.100000000000001</v>
      </c>
      <c r="D412">
        <v>30.8</v>
      </c>
      <c r="E412">
        <v>76.400000000000006</v>
      </c>
      <c r="F412">
        <v>1</v>
      </c>
    </row>
    <row r="413" spans="1:6" x14ac:dyDescent="0.25">
      <c r="A413">
        <v>1</v>
      </c>
      <c r="B413">
        <v>10.4</v>
      </c>
      <c r="C413">
        <v>18.899999999999999</v>
      </c>
      <c r="D413">
        <v>27.8</v>
      </c>
      <c r="E413">
        <v>75.099999999999994</v>
      </c>
      <c r="F413">
        <v>1</v>
      </c>
    </row>
    <row r="414" spans="1:6" x14ac:dyDescent="0.25">
      <c r="A414">
        <v>1</v>
      </c>
      <c r="B414">
        <v>12</v>
      </c>
      <c r="C414">
        <v>17.2</v>
      </c>
      <c r="D414">
        <v>31.3</v>
      </c>
      <c r="E414">
        <v>77.400000000000006</v>
      </c>
      <c r="F414">
        <v>1</v>
      </c>
    </row>
    <row r="415" spans="1:6" x14ac:dyDescent="0.25">
      <c r="A415">
        <v>1</v>
      </c>
      <c r="B415">
        <v>15.2</v>
      </c>
      <c r="C415">
        <v>18</v>
      </c>
      <c r="D415">
        <v>31.2</v>
      </c>
      <c r="E415">
        <v>80.3</v>
      </c>
      <c r="F415">
        <v>0</v>
      </c>
    </row>
    <row r="416" spans="1:6" x14ac:dyDescent="0.25">
      <c r="A416">
        <v>0</v>
      </c>
      <c r="B416">
        <v>11.5</v>
      </c>
      <c r="C416">
        <v>16.2</v>
      </c>
      <c r="D416">
        <v>30.9</v>
      </c>
      <c r="E416">
        <v>100.8</v>
      </c>
      <c r="F416">
        <v>1</v>
      </c>
    </row>
    <row r="417" spans="1:6" x14ac:dyDescent="0.25">
      <c r="A417">
        <v>0</v>
      </c>
      <c r="B417">
        <v>15.9</v>
      </c>
      <c r="C417">
        <v>24.7</v>
      </c>
      <c r="D417">
        <v>29.8</v>
      </c>
      <c r="E417">
        <v>96.7</v>
      </c>
      <c r="F417">
        <v>0</v>
      </c>
    </row>
    <row r="418" spans="1:6" x14ac:dyDescent="0.25">
      <c r="A418">
        <v>0</v>
      </c>
      <c r="B418">
        <v>12.8</v>
      </c>
      <c r="C418">
        <v>24</v>
      </c>
      <c r="D418">
        <v>28.5</v>
      </c>
      <c r="E418">
        <v>75.3</v>
      </c>
      <c r="F418">
        <v>0</v>
      </c>
    </row>
    <row r="419" spans="1:6" x14ac:dyDescent="0.25">
      <c r="A419">
        <v>1</v>
      </c>
      <c r="B419">
        <v>10.5</v>
      </c>
      <c r="C419">
        <v>25.3</v>
      </c>
      <c r="D419">
        <v>27.9</v>
      </c>
      <c r="E419">
        <v>77.099999999999994</v>
      </c>
      <c r="F419">
        <v>1</v>
      </c>
    </row>
    <row r="420" spans="1:6" x14ac:dyDescent="0.25">
      <c r="A420">
        <v>1</v>
      </c>
      <c r="B420">
        <v>12.5</v>
      </c>
      <c r="C420">
        <v>25.6</v>
      </c>
      <c r="D420">
        <v>29.9</v>
      </c>
      <c r="E420">
        <v>79.099999999999994</v>
      </c>
      <c r="F420">
        <v>1</v>
      </c>
    </row>
    <row r="421" spans="1:6" x14ac:dyDescent="0.25">
      <c r="A421">
        <v>1</v>
      </c>
      <c r="B421">
        <v>16.2</v>
      </c>
      <c r="C421">
        <v>19.5</v>
      </c>
      <c r="D421">
        <v>31</v>
      </c>
      <c r="E421">
        <v>76.599999999999994</v>
      </c>
      <c r="F421">
        <v>0</v>
      </c>
    </row>
    <row r="422" spans="1:6" x14ac:dyDescent="0.25">
      <c r="A422">
        <v>0</v>
      </c>
      <c r="B422">
        <v>10.7</v>
      </c>
      <c r="C422">
        <v>22.6</v>
      </c>
      <c r="D422">
        <v>30.2</v>
      </c>
      <c r="E422">
        <v>101.5</v>
      </c>
      <c r="F422">
        <v>1</v>
      </c>
    </row>
    <row r="423" spans="1:6" x14ac:dyDescent="0.25">
      <c r="A423">
        <v>1</v>
      </c>
      <c r="B423">
        <v>9</v>
      </c>
      <c r="C423">
        <v>23</v>
      </c>
      <c r="D423">
        <v>30.5</v>
      </c>
      <c r="E423">
        <v>69.8</v>
      </c>
      <c r="F423">
        <v>1</v>
      </c>
    </row>
    <row r="424" spans="1:6" x14ac:dyDescent="0.25">
      <c r="A424">
        <v>0</v>
      </c>
      <c r="B424">
        <v>13.1</v>
      </c>
      <c r="C424">
        <v>20.2</v>
      </c>
      <c r="D424">
        <v>32.4</v>
      </c>
      <c r="E424">
        <v>95.4</v>
      </c>
      <c r="F424">
        <v>0</v>
      </c>
    </row>
    <row r="425" spans="1:6" x14ac:dyDescent="0.25">
      <c r="A425">
        <v>1</v>
      </c>
      <c r="B425">
        <v>16.7</v>
      </c>
      <c r="C425">
        <v>25.1</v>
      </c>
      <c r="D425">
        <v>30.1</v>
      </c>
      <c r="E425">
        <v>70.8</v>
      </c>
      <c r="F425">
        <v>0</v>
      </c>
    </row>
    <row r="426" spans="1:6" x14ac:dyDescent="0.25">
      <c r="A426">
        <v>0</v>
      </c>
      <c r="B426">
        <v>13.2</v>
      </c>
      <c r="C426">
        <v>27.8</v>
      </c>
      <c r="D426">
        <v>30.6</v>
      </c>
      <c r="E426">
        <v>81.400000000000006</v>
      </c>
      <c r="F426">
        <v>0</v>
      </c>
    </row>
    <row r="427" spans="1:6" x14ac:dyDescent="0.25">
      <c r="A427">
        <v>1</v>
      </c>
      <c r="B427">
        <v>10.5</v>
      </c>
      <c r="C427">
        <v>28.3</v>
      </c>
      <c r="D427">
        <v>28.7</v>
      </c>
      <c r="E427">
        <v>100.1</v>
      </c>
      <c r="F427">
        <v>1</v>
      </c>
    </row>
    <row r="428" spans="1:6" x14ac:dyDescent="0.25">
      <c r="A428">
        <v>1</v>
      </c>
      <c r="B428">
        <v>12.4</v>
      </c>
      <c r="C428">
        <v>24.5</v>
      </c>
      <c r="D428">
        <v>30.7</v>
      </c>
      <c r="E428">
        <v>93.1</v>
      </c>
      <c r="F428">
        <v>1</v>
      </c>
    </row>
    <row r="429" spans="1:6" x14ac:dyDescent="0.25">
      <c r="A429">
        <v>0</v>
      </c>
      <c r="B429">
        <v>14.9</v>
      </c>
      <c r="C429">
        <v>29.8</v>
      </c>
      <c r="D429">
        <v>32</v>
      </c>
      <c r="E429">
        <v>92.1</v>
      </c>
      <c r="F429">
        <v>0</v>
      </c>
    </row>
    <row r="430" spans="1:6" x14ac:dyDescent="0.25">
      <c r="A430">
        <v>0</v>
      </c>
      <c r="B430">
        <v>11.3</v>
      </c>
      <c r="C430">
        <v>23.5</v>
      </c>
      <c r="D430">
        <v>28.4</v>
      </c>
      <c r="E430">
        <v>75.8</v>
      </c>
      <c r="F430">
        <v>1</v>
      </c>
    </row>
    <row r="431" spans="1:6" x14ac:dyDescent="0.25">
      <c r="A431">
        <v>1</v>
      </c>
      <c r="B431">
        <v>15</v>
      </c>
      <c r="C431">
        <v>21.7</v>
      </c>
      <c r="D431">
        <v>30.6</v>
      </c>
      <c r="E431">
        <v>90</v>
      </c>
      <c r="F431">
        <v>0</v>
      </c>
    </row>
    <row r="432" spans="1:6" x14ac:dyDescent="0.25">
      <c r="A432">
        <v>1</v>
      </c>
      <c r="B432">
        <v>13.4</v>
      </c>
      <c r="C432">
        <v>17.7</v>
      </c>
      <c r="D432">
        <v>30.2</v>
      </c>
      <c r="E432">
        <v>79</v>
      </c>
      <c r="F432">
        <v>1</v>
      </c>
    </row>
    <row r="433" spans="1:6" x14ac:dyDescent="0.25">
      <c r="A433">
        <v>0</v>
      </c>
      <c r="B433">
        <v>14.8</v>
      </c>
      <c r="C433">
        <v>18.8</v>
      </c>
      <c r="D433">
        <v>31.9</v>
      </c>
      <c r="E433">
        <v>77.5</v>
      </c>
      <c r="F433">
        <v>0</v>
      </c>
    </row>
    <row r="434" spans="1:6" x14ac:dyDescent="0.25">
      <c r="A434">
        <v>0</v>
      </c>
      <c r="B434">
        <v>12.7</v>
      </c>
      <c r="C434">
        <v>23.3</v>
      </c>
      <c r="D434">
        <v>30.3</v>
      </c>
      <c r="E434">
        <v>92.8</v>
      </c>
      <c r="F434">
        <v>0</v>
      </c>
    </row>
    <row r="435" spans="1:6" x14ac:dyDescent="0.25">
      <c r="A435">
        <v>0</v>
      </c>
      <c r="B435">
        <v>14.6</v>
      </c>
      <c r="C435">
        <v>26.3</v>
      </c>
      <c r="D435">
        <v>32</v>
      </c>
      <c r="E435">
        <v>90.7</v>
      </c>
      <c r="F435">
        <v>0</v>
      </c>
    </row>
    <row r="436" spans="1:6" x14ac:dyDescent="0.25">
      <c r="A436">
        <v>1</v>
      </c>
      <c r="B436">
        <v>9.6</v>
      </c>
      <c r="C436">
        <v>27.9</v>
      </c>
      <c r="D436">
        <v>29.2</v>
      </c>
      <c r="E436">
        <v>87.9</v>
      </c>
      <c r="F436">
        <v>1</v>
      </c>
    </row>
    <row r="437" spans="1:6" x14ac:dyDescent="0.25">
      <c r="A437">
        <v>0</v>
      </c>
      <c r="B437">
        <v>16.8</v>
      </c>
      <c r="C437">
        <v>24.3</v>
      </c>
      <c r="D437">
        <v>31.5</v>
      </c>
      <c r="E437">
        <v>92</v>
      </c>
      <c r="F437">
        <v>0</v>
      </c>
    </row>
    <row r="438" spans="1:6" x14ac:dyDescent="0.25">
      <c r="A438">
        <v>0</v>
      </c>
      <c r="B438">
        <v>13.7</v>
      </c>
      <c r="C438">
        <v>26.9</v>
      </c>
      <c r="D438">
        <v>28.1</v>
      </c>
      <c r="E438">
        <v>82.5</v>
      </c>
      <c r="F438">
        <v>0</v>
      </c>
    </row>
    <row r="439" spans="1:6" x14ac:dyDescent="0.25">
      <c r="A439">
        <v>0</v>
      </c>
      <c r="B439">
        <v>14.8</v>
      </c>
      <c r="C439">
        <v>26</v>
      </c>
      <c r="D439">
        <v>29.8</v>
      </c>
      <c r="E439">
        <v>73</v>
      </c>
      <c r="F439">
        <v>0</v>
      </c>
    </row>
    <row r="440" spans="1:6" x14ac:dyDescent="0.25">
      <c r="A440">
        <v>1</v>
      </c>
      <c r="B440">
        <v>13.2</v>
      </c>
      <c r="C440">
        <v>27</v>
      </c>
      <c r="D440">
        <v>31</v>
      </c>
      <c r="E440">
        <v>87.7</v>
      </c>
      <c r="F440">
        <v>1</v>
      </c>
    </row>
    <row r="441" spans="1:6" x14ac:dyDescent="0.25">
      <c r="A441">
        <v>0</v>
      </c>
      <c r="B441">
        <v>10.3</v>
      </c>
      <c r="C441">
        <v>20.100000000000001</v>
      </c>
      <c r="D441">
        <v>28.2</v>
      </c>
      <c r="E441">
        <v>86.3</v>
      </c>
      <c r="F441">
        <v>1</v>
      </c>
    </row>
    <row r="442" spans="1:6" x14ac:dyDescent="0.25">
      <c r="A442">
        <v>1</v>
      </c>
      <c r="B442">
        <v>13.5</v>
      </c>
      <c r="C442">
        <v>27.7</v>
      </c>
      <c r="D442">
        <v>31</v>
      </c>
      <c r="E442">
        <v>77.3</v>
      </c>
      <c r="F442">
        <v>0</v>
      </c>
    </row>
    <row r="443" spans="1:6" x14ac:dyDescent="0.25">
      <c r="A443">
        <v>0</v>
      </c>
      <c r="B443">
        <v>10.6</v>
      </c>
      <c r="C443">
        <v>24.5</v>
      </c>
      <c r="D443">
        <v>28.3</v>
      </c>
      <c r="E443">
        <v>81.5</v>
      </c>
      <c r="F443">
        <v>1</v>
      </c>
    </row>
    <row r="444" spans="1:6" x14ac:dyDescent="0.25">
      <c r="A444">
        <v>1</v>
      </c>
      <c r="B444">
        <v>14.8</v>
      </c>
      <c r="C444">
        <v>16.3</v>
      </c>
      <c r="D444">
        <v>27.8</v>
      </c>
      <c r="E444">
        <v>76.400000000000006</v>
      </c>
      <c r="F444">
        <v>0</v>
      </c>
    </row>
    <row r="445" spans="1:6" x14ac:dyDescent="0.25">
      <c r="A445">
        <v>1</v>
      </c>
      <c r="B445">
        <v>15.7</v>
      </c>
      <c r="C445">
        <v>27.6</v>
      </c>
      <c r="D445">
        <v>30.3</v>
      </c>
      <c r="E445">
        <v>81.599999999999994</v>
      </c>
      <c r="F445">
        <v>0</v>
      </c>
    </row>
    <row r="446" spans="1:6" x14ac:dyDescent="0.25">
      <c r="A446">
        <v>1</v>
      </c>
      <c r="B446">
        <v>11.8</v>
      </c>
      <c r="C446">
        <v>24.3</v>
      </c>
      <c r="D446">
        <v>32</v>
      </c>
      <c r="E446">
        <v>80.599999999999994</v>
      </c>
      <c r="F446">
        <v>1</v>
      </c>
    </row>
    <row r="447" spans="1:6" x14ac:dyDescent="0.25">
      <c r="A447">
        <v>1</v>
      </c>
      <c r="B447">
        <v>15.7</v>
      </c>
      <c r="C447">
        <v>27.2</v>
      </c>
      <c r="D447">
        <v>31.3</v>
      </c>
      <c r="E447">
        <v>69.400000000000006</v>
      </c>
      <c r="F447">
        <v>0</v>
      </c>
    </row>
    <row r="448" spans="1:6" x14ac:dyDescent="0.25">
      <c r="A448">
        <v>1</v>
      </c>
      <c r="B448">
        <v>11.5</v>
      </c>
      <c r="C448">
        <v>17</v>
      </c>
      <c r="D448">
        <v>30.6</v>
      </c>
      <c r="E448">
        <v>71</v>
      </c>
      <c r="F448">
        <v>1</v>
      </c>
    </row>
    <row r="449" spans="1:6" x14ac:dyDescent="0.25">
      <c r="A449">
        <v>1</v>
      </c>
      <c r="B449">
        <v>13</v>
      </c>
      <c r="C449">
        <v>19</v>
      </c>
      <c r="D449">
        <v>31.3</v>
      </c>
      <c r="E449">
        <v>77.3</v>
      </c>
      <c r="F449">
        <v>1</v>
      </c>
    </row>
    <row r="450" spans="1:6" x14ac:dyDescent="0.25">
      <c r="A450">
        <v>0</v>
      </c>
      <c r="B450">
        <v>8.4</v>
      </c>
      <c r="C450">
        <v>17.600000000000001</v>
      </c>
      <c r="D450">
        <v>28.8</v>
      </c>
      <c r="E450">
        <v>85.2</v>
      </c>
      <c r="F450">
        <v>1</v>
      </c>
    </row>
    <row r="451" spans="1:6" x14ac:dyDescent="0.25">
      <c r="A451">
        <v>1</v>
      </c>
      <c r="B451">
        <v>14.6</v>
      </c>
      <c r="C451">
        <v>27.5</v>
      </c>
      <c r="D451">
        <v>31.4</v>
      </c>
      <c r="E451">
        <v>83.6</v>
      </c>
      <c r="F451">
        <v>0</v>
      </c>
    </row>
    <row r="452" spans="1:6" x14ac:dyDescent="0.25">
      <c r="A452">
        <v>0</v>
      </c>
      <c r="B452">
        <v>11.2</v>
      </c>
      <c r="C452">
        <v>22.3</v>
      </c>
      <c r="D452">
        <v>29</v>
      </c>
      <c r="E452">
        <v>100.6</v>
      </c>
      <c r="F452">
        <v>1</v>
      </c>
    </row>
    <row r="453" spans="1:6" x14ac:dyDescent="0.25">
      <c r="A453">
        <v>0</v>
      </c>
      <c r="B453">
        <v>14.6</v>
      </c>
      <c r="C453">
        <v>17.100000000000001</v>
      </c>
      <c r="D453">
        <v>31.8</v>
      </c>
      <c r="E453">
        <v>84.6</v>
      </c>
      <c r="F453">
        <v>0</v>
      </c>
    </row>
    <row r="454" spans="1:6" x14ac:dyDescent="0.25">
      <c r="A454">
        <v>0</v>
      </c>
      <c r="B454">
        <v>16.3</v>
      </c>
      <c r="C454">
        <v>16.399999999999999</v>
      </c>
      <c r="D454">
        <v>27.8</v>
      </c>
      <c r="E454">
        <v>88.7</v>
      </c>
      <c r="F454">
        <v>0</v>
      </c>
    </row>
    <row r="455" spans="1:6" x14ac:dyDescent="0.25">
      <c r="A455">
        <v>1</v>
      </c>
      <c r="B455">
        <v>14.7</v>
      </c>
      <c r="C455">
        <v>26.6</v>
      </c>
      <c r="D455">
        <v>28.3</v>
      </c>
      <c r="E455">
        <v>88.6</v>
      </c>
      <c r="F455">
        <v>0</v>
      </c>
    </row>
    <row r="456" spans="1:6" x14ac:dyDescent="0.25">
      <c r="A456">
        <v>0</v>
      </c>
      <c r="B456">
        <v>10.8</v>
      </c>
      <c r="C456">
        <v>24.9</v>
      </c>
      <c r="D456">
        <v>28.3</v>
      </c>
      <c r="E456">
        <v>100</v>
      </c>
      <c r="F456">
        <v>1</v>
      </c>
    </row>
    <row r="457" spans="1:6" x14ac:dyDescent="0.25">
      <c r="A457">
        <v>1</v>
      </c>
      <c r="B457">
        <v>11</v>
      </c>
      <c r="C457">
        <v>29.5</v>
      </c>
      <c r="D457">
        <v>30.7</v>
      </c>
      <c r="E457">
        <v>72.599999999999994</v>
      </c>
      <c r="F457">
        <v>1</v>
      </c>
    </row>
    <row r="458" spans="1:6" x14ac:dyDescent="0.25">
      <c r="A458">
        <v>1</v>
      </c>
      <c r="B458">
        <v>16.600000000000001</v>
      </c>
      <c r="C458">
        <v>22.7</v>
      </c>
      <c r="D458">
        <v>28.2</v>
      </c>
      <c r="E458">
        <v>87</v>
      </c>
      <c r="F458">
        <v>0</v>
      </c>
    </row>
    <row r="459" spans="1:6" x14ac:dyDescent="0.25">
      <c r="A459">
        <v>1</v>
      </c>
      <c r="B459">
        <v>11.4</v>
      </c>
      <c r="C459">
        <v>17.600000000000001</v>
      </c>
      <c r="D459">
        <v>30.2</v>
      </c>
      <c r="E459">
        <v>70</v>
      </c>
      <c r="F459">
        <v>1</v>
      </c>
    </row>
    <row r="460" spans="1:6" x14ac:dyDescent="0.25">
      <c r="A460">
        <v>1</v>
      </c>
      <c r="B460">
        <v>15.4</v>
      </c>
      <c r="C460">
        <v>23.4</v>
      </c>
      <c r="D460">
        <v>32.4</v>
      </c>
      <c r="E460">
        <v>92.9</v>
      </c>
      <c r="F460">
        <v>0</v>
      </c>
    </row>
    <row r="461" spans="1:6" x14ac:dyDescent="0.25">
      <c r="A461">
        <v>0</v>
      </c>
      <c r="B461">
        <v>11.1</v>
      </c>
      <c r="C461">
        <v>18.3</v>
      </c>
      <c r="D461">
        <v>28.5</v>
      </c>
      <c r="E461">
        <v>73.3</v>
      </c>
      <c r="F461">
        <v>1</v>
      </c>
    </row>
    <row r="462" spans="1:6" x14ac:dyDescent="0.25">
      <c r="A462">
        <v>0</v>
      </c>
      <c r="B462">
        <v>15.5</v>
      </c>
      <c r="C462">
        <v>17.399999999999999</v>
      </c>
      <c r="D462">
        <v>28.5</v>
      </c>
      <c r="E462">
        <v>78.900000000000006</v>
      </c>
      <c r="F462">
        <v>0</v>
      </c>
    </row>
    <row r="463" spans="1:6" x14ac:dyDescent="0.25">
      <c r="A463">
        <v>0</v>
      </c>
      <c r="B463">
        <v>10.4</v>
      </c>
      <c r="C463">
        <v>18.600000000000001</v>
      </c>
      <c r="D463">
        <v>29.1</v>
      </c>
      <c r="E463">
        <v>79.2</v>
      </c>
      <c r="F463">
        <v>1</v>
      </c>
    </row>
    <row r="464" spans="1:6" x14ac:dyDescent="0.25">
      <c r="A464">
        <v>0</v>
      </c>
      <c r="B464">
        <v>10.5</v>
      </c>
      <c r="C464">
        <v>18.8</v>
      </c>
      <c r="D464">
        <v>29.1</v>
      </c>
      <c r="E464">
        <v>80.599999999999994</v>
      </c>
      <c r="F464">
        <v>1</v>
      </c>
    </row>
    <row r="465" spans="1:6" x14ac:dyDescent="0.25">
      <c r="A465">
        <v>1</v>
      </c>
      <c r="B465">
        <v>12.3</v>
      </c>
      <c r="C465">
        <v>23.5</v>
      </c>
      <c r="D465">
        <v>28.1</v>
      </c>
      <c r="E465">
        <v>76.900000000000006</v>
      </c>
      <c r="F465">
        <v>1</v>
      </c>
    </row>
    <row r="466" spans="1:6" x14ac:dyDescent="0.25">
      <c r="A466">
        <v>0</v>
      </c>
      <c r="B466">
        <v>9.8000000000000007</v>
      </c>
      <c r="C466">
        <v>29.3</v>
      </c>
      <c r="D466">
        <v>28.9</v>
      </c>
      <c r="E466">
        <v>88.3</v>
      </c>
      <c r="F466">
        <v>1</v>
      </c>
    </row>
    <row r="467" spans="1:6" x14ac:dyDescent="0.25">
      <c r="A467">
        <v>1</v>
      </c>
      <c r="B467">
        <v>16.3</v>
      </c>
      <c r="C467">
        <v>26.7</v>
      </c>
      <c r="D467">
        <v>29.9</v>
      </c>
      <c r="E467">
        <v>84.1</v>
      </c>
      <c r="F467">
        <v>0</v>
      </c>
    </row>
    <row r="468" spans="1:6" x14ac:dyDescent="0.25">
      <c r="A468">
        <v>0</v>
      </c>
      <c r="B468">
        <v>14.6</v>
      </c>
      <c r="C468">
        <v>28.9</v>
      </c>
      <c r="D468">
        <v>28.5</v>
      </c>
      <c r="E468">
        <v>74.2</v>
      </c>
      <c r="F468">
        <v>0</v>
      </c>
    </row>
    <row r="469" spans="1:6" x14ac:dyDescent="0.25">
      <c r="A469">
        <v>0</v>
      </c>
      <c r="B469">
        <v>13.4</v>
      </c>
      <c r="C469">
        <v>22</v>
      </c>
      <c r="D469">
        <v>30.8</v>
      </c>
      <c r="E469">
        <v>79.7</v>
      </c>
      <c r="F469">
        <v>0</v>
      </c>
    </row>
    <row r="470" spans="1:6" x14ac:dyDescent="0.25">
      <c r="A470">
        <v>1</v>
      </c>
      <c r="B470">
        <v>14.8</v>
      </c>
      <c r="C470">
        <v>28.8</v>
      </c>
      <c r="D470">
        <v>29.6</v>
      </c>
      <c r="E470">
        <v>84.9</v>
      </c>
      <c r="F470">
        <v>0</v>
      </c>
    </row>
    <row r="471" spans="1:6" x14ac:dyDescent="0.25">
      <c r="A471">
        <v>1</v>
      </c>
      <c r="B471">
        <v>13</v>
      </c>
      <c r="C471">
        <v>28.1</v>
      </c>
      <c r="D471">
        <v>31.6</v>
      </c>
      <c r="E471">
        <v>94.6</v>
      </c>
      <c r="F471">
        <v>1</v>
      </c>
    </row>
    <row r="472" spans="1:6" x14ac:dyDescent="0.25">
      <c r="A472">
        <v>1</v>
      </c>
      <c r="B472">
        <v>16.600000000000001</v>
      </c>
      <c r="C472">
        <v>29.1</v>
      </c>
      <c r="D472">
        <v>29.9</v>
      </c>
      <c r="E472">
        <v>76.400000000000006</v>
      </c>
      <c r="F472">
        <v>0</v>
      </c>
    </row>
    <row r="473" spans="1:6" x14ac:dyDescent="0.25">
      <c r="A473">
        <v>0</v>
      </c>
      <c r="B473">
        <v>15.6</v>
      </c>
      <c r="C473">
        <v>28.8</v>
      </c>
      <c r="D473">
        <v>30.8</v>
      </c>
      <c r="E473">
        <v>86.4</v>
      </c>
      <c r="F473">
        <v>0</v>
      </c>
    </row>
    <row r="474" spans="1:6" x14ac:dyDescent="0.25">
      <c r="A474">
        <v>1</v>
      </c>
      <c r="B474">
        <v>16.7</v>
      </c>
      <c r="C474">
        <v>20.100000000000001</v>
      </c>
      <c r="D474">
        <v>31.4</v>
      </c>
      <c r="E474">
        <v>73</v>
      </c>
      <c r="F474">
        <v>0</v>
      </c>
    </row>
    <row r="475" spans="1:6" x14ac:dyDescent="0.25">
      <c r="A475">
        <v>1</v>
      </c>
      <c r="B475">
        <v>10.7</v>
      </c>
      <c r="C475">
        <v>20</v>
      </c>
      <c r="D475">
        <v>29.1</v>
      </c>
      <c r="E475">
        <v>79.3</v>
      </c>
      <c r="F475">
        <v>1</v>
      </c>
    </row>
    <row r="476" spans="1:6" x14ac:dyDescent="0.25">
      <c r="A476">
        <v>1</v>
      </c>
      <c r="B476">
        <v>10.6</v>
      </c>
      <c r="C476">
        <v>22.7</v>
      </c>
      <c r="D476">
        <v>29.1</v>
      </c>
      <c r="E476">
        <v>83.7</v>
      </c>
      <c r="F476">
        <v>1</v>
      </c>
    </row>
    <row r="477" spans="1:6" x14ac:dyDescent="0.25">
      <c r="A477">
        <v>0</v>
      </c>
      <c r="B477">
        <v>15.9</v>
      </c>
      <c r="C477">
        <v>25.4</v>
      </c>
      <c r="D477">
        <v>28.3</v>
      </c>
      <c r="E477">
        <v>72</v>
      </c>
      <c r="F477">
        <v>0</v>
      </c>
    </row>
    <row r="478" spans="1:6" x14ac:dyDescent="0.25">
      <c r="A478">
        <v>0</v>
      </c>
      <c r="B478">
        <v>15.4</v>
      </c>
      <c r="C478">
        <v>21.5</v>
      </c>
      <c r="D478">
        <v>29.6</v>
      </c>
      <c r="E478">
        <v>71.2</v>
      </c>
      <c r="F478">
        <v>0</v>
      </c>
    </row>
    <row r="479" spans="1:6" x14ac:dyDescent="0.25">
      <c r="A479">
        <v>0</v>
      </c>
      <c r="B479">
        <v>14.9</v>
      </c>
      <c r="C479">
        <v>16</v>
      </c>
      <c r="D479">
        <v>31.4</v>
      </c>
      <c r="E479">
        <v>87.5</v>
      </c>
      <c r="F479">
        <v>0</v>
      </c>
    </row>
    <row r="480" spans="1:6" x14ac:dyDescent="0.25">
      <c r="A480">
        <v>1</v>
      </c>
      <c r="B480">
        <v>14.7</v>
      </c>
      <c r="C480">
        <v>22</v>
      </c>
      <c r="D480">
        <v>28.2</v>
      </c>
      <c r="E480">
        <v>99.5</v>
      </c>
      <c r="F480">
        <v>0</v>
      </c>
    </row>
    <row r="481" spans="1:6" x14ac:dyDescent="0.25">
      <c r="A481">
        <v>0</v>
      </c>
      <c r="B481">
        <v>11.6</v>
      </c>
      <c r="C481">
        <v>22.3</v>
      </c>
      <c r="D481">
        <v>30.9</v>
      </c>
      <c r="E481">
        <v>74.5</v>
      </c>
      <c r="F481">
        <v>1</v>
      </c>
    </row>
    <row r="482" spans="1:6" x14ac:dyDescent="0.25">
      <c r="A482">
        <v>1</v>
      </c>
      <c r="B482">
        <v>12.7</v>
      </c>
      <c r="C482">
        <v>19.5</v>
      </c>
      <c r="D482">
        <v>28.9</v>
      </c>
      <c r="E482">
        <v>82.9</v>
      </c>
      <c r="F482">
        <v>1</v>
      </c>
    </row>
    <row r="483" spans="1:6" x14ac:dyDescent="0.25">
      <c r="A483">
        <v>1</v>
      </c>
      <c r="B483">
        <v>12.7</v>
      </c>
      <c r="C483">
        <v>28.5</v>
      </c>
      <c r="D483">
        <v>28.2</v>
      </c>
      <c r="E483">
        <v>92.3</v>
      </c>
      <c r="F483">
        <v>1</v>
      </c>
    </row>
    <row r="484" spans="1:6" x14ac:dyDescent="0.25">
      <c r="A484">
        <v>0</v>
      </c>
      <c r="B484">
        <v>14.1</v>
      </c>
      <c r="C484">
        <v>29.7</v>
      </c>
      <c r="D484">
        <v>30.5</v>
      </c>
      <c r="E484">
        <v>75.2</v>
      </c>
      <c r="F484">
        <v>0</v>
      </c>
    </row>
    <row r="485" spans="1:6" x14ac:dyDescent="0.25">
      <c r="A485">
        <v>1</v>
      </c>
      <c r="B485">
        <v>11.7</v>
      </c>
      <c r="C485">
        <v>25.8</v>
      </c>
      <c r="D485">
        <v>31.3</v>
      </c>
      <c r="E485">
        <v>82.9</v>
      </c>
      <c r="F485">
        <v>1</v>
      </c>
    </row>
    <row r="486" spans="1:6" x14ac:dyDescent="0.25">
      <c r="A486">
        <v>1</v>
      </c>
      <c r="B486">
        <v>15.9</v>
      </c>
      <c r="C486">
        <v>18.3</v>
      </c>
      <c r="D486">
        <v>29.6</v>
      </c>
      <c r="E486">
        <v>87.8</v>
      </c>
      <c r="F486">
        <v>0</v>
      </c>
    </row>
    <row r="487" spans="1:6" x14ac:dyDescent="0.25">
      <c r="A487">
        <v>0</v>
      </c>
      <c r="B487">
        <v>16.7</v>
      </c>
      <c r="C487">
        <v>27.5</v>
      </c>
      <c r="D487">
        <v>28.2</v>
      </c>
      <c r="E487">
        <v>93</v>
      </c>
      <c r="F487">
        <v>0</v>
      </c>
    </row>
    <row r="488" spans="1:6" x14ac:dyDescent="0.25">
      <c r="A488">
        <v>0</v>
      </c>
      <c r="B488">
        <v>13.4</v>
      </c>
      <c r="C488">
        <v>25.2</v>
      </c>
      <c r="D488">
        <v>30.2</v>
      </c>
      <c r="E488">
        <v>95.9</v>
      </c>
      <c r="F488">
        <v>0</v>
      </c>
    </row>
    <row r="489" spans="1:6" x14ac:dyDescent="0.25">
      <c r="A489">
        <v>0</v>
      </c>
      <c r="B489">
        <v>14.7</v>
      </c>
      <c r="C489">
        <v>28.9</v>
      </c>
      <c r="D489">
        <v>31</v>
      </c>
      <c r="E489">
        <v>69.8</v>
      </c>
      <c r="F489">
        <v>0</v>
      </c>
    </row>
    <row r="490" spans="1:6" x14ac:dyDescent="0.25">
      <c r="A490">
        <v>0</v>
      </c>
      <c r="B490">
        <v>15.9</v>
      </c>
      <c r="C490">
        <v>24.3</v>
      </c>
      <c r="D490">
        <v>28.7</v>
      </c>
      <c r="E490">
        <v>91.5</v>
      </c>
      <c r="F490">
        <v>0</v>
      </c>
    </row>
    <row r="491" spans="1:6" x14ac:dyDescent="0.25">
      <c r="A491">
        <v>1</v>
      </c>
      <c r="B491">
        <v>14</v>
      </c>
      <c r="C491">
        <v>25.5</v>
      </c>
      <c r="D491">
        <v>32</v>
      </c>
      <c r="E491">
        <v>81.599999999999994</v>
      </c>
      <c r="F491">
        <v>0</v>
      </c>
    </row>
    <row r="492" spans="1:6" x14ac:dyDescent="0.25">
      <c r="A492">
        <v>1</v>
      </c>
      <c r="B492">
        <v>15.9</v>
      </c>
      <c r="C492">
        <v>24</v>
      </c>
      <c r="D492">
        <v>27.9</v>
      </c>
      <c r="E492">
        <v>83.7</v>
      </c>
      <c r="F492">
        <v>0</v>
      </c>
    </row>
    <row r="493" spans="1:6" x14ac:dyDescent="0.25">
      <c r="A493">
        <v>1</v>
      </c>
      <c r="B493">
        <v>12.3</v>
      </c>
      <c r="C493">
        <v>21.8</v>
      </c>
      <c r="D493">
        <v>27.8</v>
      </c>
      <c r="E493">
        <v>77.900000000000006</v>
      </c>
      <c r="F493">
        <v>1</v>
      </c>
    </row>
    <row r="494" spans="1:6" x14ac:dyDescent="0.25">
      <c r="A494">
        <v>1</v>
      </c>
      <c r="B494">
        <v>15.4</v>
      </c>
      <c r="C494">
        <v>24.6</v>
      </c>
      <c r="D494">
        <v>30.1</v>
      </c>
      <c r="E494">
        <v>94.3</v>
      </c>
      <c r="F494">
        <v>0</v>
      </c>
    </row>
    <row r="495" spans="1:6" x14ac:dyDescent="0.25">
      <c r="A495">
        <v>0</v>
      </c>
      <c r="B495">
        <v>9.1999999999999993</v>
      </c>
      <c r="C495">
        <v>19.3</v>
      </c>
      <c r="D495">
        <v>31.4</v>
      </c>
      <c r="E495">
        <v>78.900000000000006</v>
      </c>
      <c r="F495">
        <v>1</v>
      </c>
    </row>
    <row r="496" spans="1:6" x14ac:dyDescent="0.25">
      <c r="A496">
        <v>1</v>
      </c>
      <c r="B496">
        <v>16.5</v>
      </c>
      <c r="C496">
        <v>19.3</v>
      </c>
      <c r="D496">
        <v>29.2</v>
      </c>
      <c r="E496">
        <v>69.7</v>
      </c>
      <c r="F496">
        <v>0</v>
      </c>
    </row>
    <row r="497" spans="1:6" x14ac:dyDescent="0.25">
      <c r="A497">
        <v>1</v>
      </c>
      <c r="B497">
        <v>16.2</v>
      </c>
      <c r="C497">
        <v>17.2</v>
      </c>
      <c r="D497">
        <v>32.200000000000003</v>
      </c>
      <c r="E497">
        <v>78.400000000000006</v>
      </c>
      <c r="F497">
        <v>0</v>
      </c>
    </row>
    <row r="498" spans="1:6" x14ac:dyDescent="0.25">
      <c r="A498">
        <v>0</v>
      </c>
      <c r="B498">
        <v>15.2</v>
      </c>
      <c r="C498">
        <v>28.1</v>
      </c>
      <c r="D498">
        <v>32.5</v>
      </c>
      <c r="E498">
        <v>94.6</v>
      </c>
      <c r="F498">
        <v>0</v>
      </c>
    </row>
    <row r="499" spans="1:6" x14ac:dyDescent="0.25">
      <c r="A499">
        <v>1</v>
      </c>
      <c r="B499">
        <v>11.8</v>
      </c>
      <c r="C499">
        <v>16.3</v>
      </c>
      <c r="D499">
        <v>30.9</v>
      </c>
      <c r="E499">
        <v>78.7</v>
      </c>
      <c r="F499">
        <v>1</v>
      </c>
    </row>
    <row r="500" spans="1:6" x14ac:dyDescent="0.25">
      <c r="A500">
        <v>1</v>
      </c>
      <c r="B500">
        <v>11</v>
      </c>
      <c r="C500">
        <v>26</v>
      </c>
      <c r="D500">
        <v>32.200000000000003</v>
      </c>
      <c r="E500">
        <v>98.9</v>
      </c>
      <c r="F500">
        <v>1</v>
      </c>
    </row>
    <row r="501" spans="1:6" x14ac:dyDescent="0.25">
      <c r="A501">
        <v>1</v>
      </c>
      <c r="B501">
        <v>11</v>
      </c>
      <c r="C501">
        <v>25.2</v>
      </c>
      <c r="D501">
        <v>30.9</v>
      </c>
      <c r="E501">
        <v>83.2</v>
      </c>
      <c r="F501">
        <v>1</v>
      </c>
    </row>
    <row r="502" spans="1:6" x14ac:dyDescent="0.25">
      <c r="A502">
        <v>0</v>
      </c>
      <c r="B502">
        <v>10.7</v>
      </c>
      <c r="C502">
        <v>21.3</v>
      </c>
      <c r="D502">
        <v>29.1</v>
      </c>
      <c r="E502">
        <v>78.7</v>
      </c>
      <c r="F502">
        <v>1</v>
      </c>
    </row>
    <row r="503" spans="1:6" x14ac:dyDescent="0.25">
      <c r="A503">
        <v>1</v>
      </c>
      <c r="B503">
        <v>14.8</v>
      </c>
      <c r="C503">
        <v>23.4</v>
      </c>
      <c r="D503">
        <v>29.2</v>
      </c>
      <c r="E503">
        <v>74.7</v>
      </c>
      <c r="F503">
        <v>0</v>
      </c>
    </row>
    <row r="504" spans="1:6" x14ac:dyDescent="0.25">
      <c r="A504">
        <v>0</v>
      </c>
      <c r="B504">
        <v>12.1</v>
      </c>
      <c r="C504">
        <v>28.3</v>
      </c>
      <c r="D504">
        <v>29.2</v>
      </c>
      <c r="E504">
        <v>99.7</v>
      </c>
      <c r="F504">
        <v>0</v>
      </c>
    </row>
    <row r="505" spans="1:6" x14ac:dyDescent="0.25">
      <c r="A505">
        <v>1</v>
      </c>
      <c r="B505">
        <v>14.7</v>
      </c>
      <c r="C505">
        <v>23.4</v>
      </c>
      <c r="D505">
        <v>29.9</v>
      </c>
      <c r="E505">
        <v>85.3</v>
      </c>
      <c r="F505">
        <v>0</v>
      </c>
    </row>
    <row r="506" spans="1:6" x14ac:dyDescent="0.25">
      <c r="A506">
        <v>0</v>
      </c>
      <c r="B506">
        <v>11.2</v>
      </c>
      <c r="C506">
        <v>16.100000000000001</v>
      </c>
      <c r="D506">
        <v>30.3</v>
      </c>
      <c r="E506">
        <v>82.6</v>
      </c>
      <c r="F506">
        <v>1</v>
      </c>
    </row>
    <row r="507" spans="1:6" x14ac:dyDescent="0.25">
      <c r="A507">
        <v>1</v>
      </c>
      <c r="B507">
        <v>14.3</v>
      </c>
      <c r="C507">
        <v>16.399999999999999</v>
      </c>
      <c r="D507">
        <v>29.9</v>
      </c>
      <c r="E507">
        <v>90.1</v>
      </c>
      <c r="F507">
        <v>0</v>
      </c>
    </row>
    <row r="508" spans="1:6" x14ac:dyDescent="0.25">
      <c r="A508">
        <v>1</v>
      </c>
      <c r="B508">
        <v>14.3</v>
      </c>
      <c r="C508">
        <v>24.1</v>
      </c>
      <c r="D508">
        <v>28.7</v>
      </c>
      <c r="E508">
        <v>97.2</v>
      </c>
      <c r="F508">
        <v>0</v>
      </c>
    </row>
    <row r="509" spans="1:6" x14ac:dyDescent="0.25">
      <c r="A509">
        <v>0</v>
      </c>
      <c r="B509">
        <v>11</v>
      </c>
      <c r="C509">
        <v>17</v>
      </c>
      <c r="D509">
        <v>29.5</v>
      </c>
      <c r="E509">
        <v>75.3</v>
      </c>
      <c r="F509">
        <v>1</v>
      </c>
    </row>
    <row r="510" spans="1:6" x14ac:dyDescent="0.25">
      <c r="A510">
        <v>0</v>
      </c>
      <c r="B510">
        <v>11.9</v>
      </c>
      <c r="C510">
        <v>29.5</v>
      </c>
      <c r="D510">
        <v>32.200000000000003</v>
      </c>
      <c r="E510">
        <v>87.8</v>
      </c>
      <c r="F510">
        <v>1</v>
      </c>
    </row>
    <row r="511" spans="1:6" x14ac:dyDescent="0.25">
      <c r="A511">
        <v>1</v>
      </c>
      <c r="B511">
        <v>13.5</v>
      </c>
      <c r="C511">
        <v>22.1</v>
      </c>
      <c r="D511">
        <v>29.6</v>
      </c>
      <c r="E511">
        <v>74.7</v>
      </c>
      <c r="F511">
        <v>0</v>
      </c>
    </row>
    <row r="512" spans="1:6" x14ac:dyDescent="0.25">
      <c r="A512">
        <v>1</v>
      </c>
      <c r="B512">
        <v>12.5</v>
      </c>
      <c r="C512">
        <v>17.600000000000001</v>
      </c>
      <c r="D512">
        <v>32.4</v>
      </c>
      <c r="E512">
        <v>101.5</v>
      </c>
      <c r="F512">
        <v>1</v>
      </c>
    </row>
    <row r="513" spans="1:6" x14ac:dyDescent="0.25">
      <c r="A513">
        <v>0</v>
      </c>
      <c r="B513">
        <v>14.9</v>
      </c>
      <c r="C513">
        <v>29.1</v>
      </c>
      <c r="D513">
        <v>32.1</v>
      </c>
      <c r="E513">
        <v>84.9</v>
      </c>
      <c r="F513">
        <v>0</v>
      </c>
    </row>
    <row r="514" spans="1:6" x14ac:dyDescent="0.25">
      <c r="A514">
        <v>0</v>
      </c>
      <c r="B514">
        <v>11.6</v>
      </c>
      <c r="C514">
        <v>19.399999999999999</v>
      </c>
      <c r="D514">
        <v>30.1</v>
      </c>
      <c r="E514">
        <v>85.3</v>
      </c>
      <c r="F514">
        <v>1</v>
      </c>
    </row>
    <row r="515" spans="1:6" x14ac:dyDescent="0.25">
      <c r="A515">
        <v>0</v>
      </c>
      <c r="B515">
        <v>12.5</v>
      </c>
      <c r="C515">
        <v>23.5</v>
      </c>
      <c r="D515">
        <v>30.6</v>
      </c>
      <c r="E515">
        <v>82.8</v>
      </c>
      <c r="F515">
        <v>0</v>
      </c>
    </row>
    <row r="516" spans="1:6" x14ac:dyDescent="0.25">
      <c r="A516">
        <v>0</v>
      </c>
      <c r="B516">
        <v>14.5</v>
      </c>
      <c r="C516">
        <v>24.9</v>
      </c>
      <c r="D516">
        <v>29</v>
      </c>
      <c r="E516">
        <v>81.8</v>
      </c>
      <c r="F516">
        <v>0</v>
      </c>
    </row>
    <row r="517" spans="1:6" x14ac:dyDescent="0.25">
      <c r="A517">
        <v>1</v>
      </c>
      <c r="B517">
        <v>12.8</v>
      </c>
      <c r="C517">
        <v>21.2</v>
      </c>
      <c r="D517">
        <v>31.7</v>
      </c>
      <c r="E517">
        <v>73.3</v>
      </c>
      <c r="F517">
        <v>1</v>
      </c>
    </row>
    <row r="518" spans="1:6" x14ac:dyDescent="0.25">
      <c r="A518">
        <v>0</v>
      </c>
      <c r="B518">
        <v>9.1</v>
      </c>
      <c r="C518">
        <v>21.3</v>
      </c>
      <c r="D518">
        <v>29.4</v>
      </c>
      <c r="E518">
        <v>94.2</v>
      </c>
      <c r="F518">
        <v>1</v>
      </c>
    </row>
    <row r="519" spans="1:6" x14ac:dyDescent="0.25">
      <c r="A519">
        <v>0</v>
      </c>
      <c r="B519">
        <v>15.2</v>
      </c>
      <c r="C519">
        <v>28.1</v>
      </c>
      <c r="D519">
        <v>31.4</v>
      </c>
      <c r="E519">
        <v>77.3</v>
      </c>
      <c r="F519">
        <v>0</v>
      </c>
    </row>
    <row r="520" spans="1:6" x14ac:dyDescent="0.25">
      <c r="A520">
        <v>0</v>
      </c>
      <c r="B520">
        <v>16.100000000000001</v>
      </c>
      <c r="C520">
        <v>21.4</v>
      </c>
      <c r="D520">
        <v>29.1</v>
      </c>
      <c r="E520">
        <v>88.8</v>
      </c>
      <c r="F520">
        <v>0</v>
      </c>
    </row>
    <row r="521" spans="1:6" x14ac:dyDescent="0.25">
      <c r="A521">
        <v>0</v>
      </c>
      <c r="B521">
        <v>11.7</v>
      </c>
      <c r="C521">
        <v>26.3</v>
      </c>
      <c r="D521">
        <v>30</v>
      </c>
      <c r="E521">
        <v>70.5</v>
      </c>
      <c r="F521">
        <v>1</v>
      </c>
    </row>
    <row r="522" spans="1:6" x14ac:dyDescent="0.25">
      <c r="A522">
        <v>1</v>
      </c>
      <c r="B522">
        <v>16.7</v>
      </c>
      <c r="C522">
        <v>20.8</v>
      </c>
      <c r="D522">
        <v>31.9</v>
      </c>
      <c r="E522">
        <v>85.1</v>
      </c>
      <c r="F522">
        <v>0</v>
      </c>
    </row>
    <row r="523" spans="1:6" x14ac:dyDescent="0.25">
      <c r="A523">
        <v>1</v>
      </c>
      <c r="B523">
        <v>11.3</v>
      </c>
      <c r="C523">
        <v>26.7</v>
      </c>
      <c r="D523">
        <v>29.8</v>
      </c>
      <c r="E523">
        <v>92.7</v>
      </c>
      <c r="F523">
        <v>1</v>
      </c>
    </row>
    <row r="524" spans="1:6" x14ac:dyDescent="0.25">
      <c r="A524">
        <v>0</v>
      </c>
      <c r="B524">
        <v>15.3</v>
      </c>
      <c r="C524">
        <v>18.600000000000001</v>
      </c>
      <c r="D524">
        <v>30.4</v>
      </c>
      <c r="E524">
        <v>96.6</v>
      </c>
      <c r="F524">
        <v>0</v>
      </c>
    </row>
    <row r="525" spans="1:6" x14ac:dyDescent="0.25">
      <c r="A525">
        <v>1</v>
      </c>
      <c r="B525">
        <v>14.4</v>
      </c>
      <c r="C525">
        <v>28.1</v>
      </c>
      <c r="D525">
        <v>28.5</v>
      </c>
      <c r="E525">
        <v>93.2</v>
      </c>
      <c r="F525">
        <v>0</v>
      </c>
    </row>
    <row r="526" spans="1:6" x14ac:dyDescent="0.25">
      <c r="A526">
        <v>1</v>
      </c>
      <c r="B526">
        <v>13.1</v>
      </c>
      <c r="C526">
        <v>28.3</v>
      </c>
      <c r="D526">
        <v>29.6</v>
      </c>
      <c r="E526">
        <v>86.5</v>
      </c>
      <c r="F526">
        <v>1</v>
      </c>
    </row>
    <row r="527" spans="1:6" x14ac:dyDescent="0.25">
      <c r="A527">
        <v>1</v>
      </c>
      <c r="B527">
        <v>12.7</v>
      </c>
      <c r="C527">
        <v>19.100000000000001</v>
      </c>
      <c r="D527">
        <v>29.8</v>
      </c>
      <c r="E527">
        <v>84.3</v>
      </c>
      <c r="F527">
        <v>1</v>
      </c>
    </row>
    <row r="528" spans="1:6" x14ac:dyDescent="0.25">
      <c r="A528">
        <v>0</v>
      </c>
      <c r="B528">
        <v>14.8</v>
      </c>
      <c r="C528">
        <v>28.2</v>
      </c>
      <c r="D528">
        <v>30.8</v>
      </c>
      <c r="E528">
        <v>70.7</v>
      </c>
      <c r="F528">
        <v>0</v>
      </c>
    </row>
    <row r="529" spans="1:6" x14ac:dyDescent="0.25">
      <c r="A529">
        <v>0</v>
      </c>
      <c r="B529">
        <v>16.899999999999999</v>
      </c>
      <c r="C529">
        <v>25.5</v>
      </c>
      <c r="D529">
        <v>29.6</v>
      </c>
      <c r="E529">
        <v>83.2</v>
      </c>
      <c r="F529">
        <v>0</v>
      </c>
    </row>
    <row r="530" spans="1:6" x14ac:dyDescent="0.25">
      <c r="A530">
        <v>1</v>
      </c>
      <c r="B530">
        <v>14.7</v>
      </c>
      <c r="C530">
        <v>20</v>
      </c>
      <c r="D530">
        <v>29.3</v>
      </c>
      <c r="E530">
        <v>94.4</v>
      </c>
      <c r="F530">
        <v>0</v>
      </c>
    </row>
    <row r="531" spans="1:6" x14ac:dyDescent="0.25">
      <c r="A531">
        <v>0</v>
      </c>
      <c r="B531">
        <v>13.8</v>
      </c>
      <c r="C531">
        <v>27.3</v>
      </c>
      <c r="D531">
        <v>29.6</v>
      </c>
      <c r="E531">
        <v>97.9</v>
      </c>
      <c r="F531">
        <v>0</v>
      </c>
    </row>
    <row r="532" spans="1:6" x14ac:dyDescent="0.25">
      <c r="A532">
        <v>1</v>
      </c>
      <c r="B532">
        <v>10.8</v>
      </c>
      <c r="C532">
        <v>16.8</v>
      </c>
      <c r="D532">
        <v>30.6</v>
      </c>
      <c r="E532">
        <v>79.599999999999994</v>
      </c>
      <c r="F532">
        <v>1</v>
      </c>
    </row>
    <row r="533" spans="1:6" x14ac:dyDescent="0.25">
      <c r="A533">
        <v>1</v>
      </c>
      <c r="B533">
        <v>13.8</v>
      </c>
      <c r="C533">
        <v>20.9</v>
      </c>
      <c r="D533">
        <v>31.2</v>
      </c>
      <c r="E533">
        <v>97.4</v>
      </c>
      <c r="F533">
        <v>0</v>
      </c>
    </row>
    <row r="534" spans="1:6" x14ac:dyDescent="0.25">
      <c r="A534">
        <v>0</v>
      </c>
      <c r="B534">
        <v>12.4</v>
      </c>
      <c r="C534">
        <v>20.8</v>
      </c>
      <c r="D534">
        <v>30.7</v>
      </c>
      <c r="E534">
        <v>98.2</v>
      </c>
      <c r="F534">
        <v>0</v>
      </c>
    </row>
    <row r="535" spans="1:6" x14ac:dyDescent="0.25">
      <c r="A535">
        <v>0</v>
      </c>
      <c r="B535">
        <v>7.8</v>
      </c>
      <c r="C535">
        <v>23</v>
      </c>
      <c r="D535">
        <v>32.200000000000003</v>
      </c>
      <c r="E535">
        <v>76.099999999999994</v>
      </c>
      <c r="F535">
        <v>1</v>
      </c>
    </row>
    <row r="536" spans="1:6" x14ac:dyDescent="0.25">
      <c r="A536">
        <v>1</v>
      </c>
      <c r="B536">
        <v>16.399999999999999</v>
      </c>
      <c r="C536">
        <v>18.7</v>
      </c>
      <c r="D536">
        <v>29.6</v>
      </c>
      <c r="E536">
        <v>96.4</v>
      </c>
      <c r="F536">
        <v>0</v>
      </c>
    </row>
    <row r="537" spans="1:6" x14ac:dyDescent="0.25">
      <c r="A537">
        <v>1</v>
      </c>
      <c r="B537">
        <v>10.4</v>
      </c>
      <c r="C537">
        <v>29.6</v>
      </c>
      <c r="D537">
        <v>28.3</v>
      </c>
      <c r="E537">
        <v>101</v>
      </c>
      <c r="F537">
        <v>1</v>
      </c>
    </row>
    <row r="538" spans="1:6" x14ac:dyDescent="0.25">
      <c r="A538">
        <v>1</v>
      </c>
      <c r="B538">
        <v>11.5</v>
      </c>
      <c r="C538">
        <v>26.1</v>
      </c>
      <c r="D538">
        <v>28.6</v>
      </c>
      <c r="E538">
        <v>91</v>
      </c>
      <c r="F538">
        <v>1</v>
      </c>
    </row>
    <row r="539" spans="1:6" x14ac:dyDescent="0.25">
      <c r="A539">
        <v>1</v>
      </c>
      <c r="B539">
        <v>11.1</v>
      </c>
      <c r="C539">
        <v>22.8</v>
      </c>
      <c r="D539">
        <v>28</v>
      </c>
      <c r="E539">
        <v>97.3</v>
      </c>
      <c r="F539">
        <v>1</v>
      </c>
    </row>
    <row r="540" spans="1:6" x14ac:dyDescent="0.25">
      <c r="A540">
        <v>0</v>
      </c>
      <c r="B540">
        <v>16.7</v>
      </c>
      <c r="C540">
        <v>23.4</v>
      </c>
      <c r="D540">
        <v>29.8</v>
      </c>
      <c r="E540">
        <v>92.5</v>
      </c>
      <c r="F540">
        <v>0</v>
      </c>
    </row>
    <row r="541" spans="1:6" x14ac:dyDescent="0.25">
      <c r="A541">
        <v>0</v>
      </c>
      <c r="B541">
        <v>10.4</v>
      </c>
      <c r="C541">
        <v>27.1</v>
      </c>
      <c r="D541">
        <v>29.8</v>
      </c>
      <c r="E541">
        <v>75.2</v>
      </c>
      <c r="F541">
        <v>1</v>
      </c>
    </row>
    <row r="542" spans="1:6" x14ac:dyDescent="0.25">
      <c r="A542">
        <v>0</v>
      </c>
      <c r="B542">
        <v>16.3</v>
      </c>
      <c r="C542">
        <v>28.6</v>
      </c>
      <c r="D542">
        <v>30.9</v>
      </c>
      <c r="E542">
        <v>99.9</v>
      </c>
      <c r="F542">
        <v>0</v>
      </c>
    </row>
    <row r="543" spans="1:6" x14ac:dyDescent="0.25">
      <c r="A543">
        <v>1</v>
      </c>
      <c r="B543">
        <v>11.5</v>
      </c>
      <c r="C543">
        <v>21.4</v>
      </c>
      <c r="D543">
        <v>32.5</v>
      </c>
      <c r="E543">
        <v>76.599999999999994</v>
      </c>
      <c r="F543">
        <v>1</v>
      </c>
    </row>
    <row r="544" spans="1:6" x14ac:dyDescent="0.25">
      <c r="A544">
        <v>0</v>
      </c>
      <c r="B544">
        <v>13.7</v>
      </c>
      <c r="C544">
        <v>17.100000000000001</v>
      </c>
      <c r="D544">
        <v>29.9</v>
      </c>
      <c r="E544">
        <v>78.400000000000006</v>
      </c>
      <c r="F544">
        <v>0</v>
      </c>
    </row>
    <row r="545" spans="1:6" x14ac:dyDescent="0.25">
      <c r="A545">
        <v>0</v>
      </c>
      <c r="B545">
        <v>11.2</v>
      </c>
      <c r="C545">
        <v>29.6</v>
      </c>
      <c r="D545">
        <v>30.3</v>
      </c>
      <c r="E545">
        <v>74</v>
      </c>
      <c r="F545">
        <v>1</v>
      </c>
    </row>
    <row r="546" spans="1:6" x14ac:dyDescent="0.25">
      <c r="A546">
        <v>1</v>
      </c>
      <c r="B546">
        <v>12.7</v>
      </c>
      <c r="C546">
        <v>23.6</v>
      </c>
      <c r="D546">
        <v>30.4</v>
      </c>
      <c r="E546">
        <v>69.8</v>
      </c>
      <c r="F546">
        <v>1</v>
      </c>
    </row>
    <row r="547" spans="1:6" x14ac:dyDescent="0.25">
      <c r="A547">
        <v>1</v>
      </c>
      <c r="B547">
        <v>11.2</v>
      </c>
      <c r="C547">
        <v>18.5</v>
      </c>
      <c r="D547">
        <v>29.3</v>
      </c>
      <c r="E547">
        <v>93.9</v>
      </c>
      <c r="F547">
        <v>1</v>
      </c>
    </row>
    <row r="548" spans="1:6" x14ac:dyDescent="0.25">
      <c r="A548">
        <v>1</v>
      </c>
      <c r="B548">
        <v>10.7</v>
      </c>
      <c r="C548">
        <v>21.3</v>
      </c>
      <c r="D548">
        <v>28.8</v>
      </c>
      <c r="E548">
        <v>78.3</v>
      </c>
      <c r="F548">
        <v>1</v>
      </c>
    </row>
    <row r="549" spans="1:6" x14ac:dyDescent="0.25">
      <c r="A549">
        <v>0</v>
      </c>
      <c r="B549">
        <v>11.7</v>
      </c>
      <c r="C549">
        <v>19.3</v>
      </c>
      <c r="D549">
        <v>30.3</v>
      </c>
      <c r="E549">
        <v>83.3</v>
      </c>
      <c r="F549">
        <v>1</v>
      </c>
    </row>
    <row r="550" spans="1:6" x14ac:dyDescent="0.25">
      <c r="A550">
        <v>1</v>
      </c>
      <c r="B550">
        <v>16.600000000000001</v>
      </c>
      <c r="C550">
        <v>21.4</v>
      </c>
      <c r="D550">
        <v>28.8</v>
      </c>
      <c r="E550">
        <v>78.400000000000006</v>
      </c>
      <c r="F550">
        <v>0</v>
      </c>
    </row>
    <row r="551" spans="1:6" x14ac:dyDescent="0.25">
      <c r="A551">
        <v>0</v>
      </c>
      <c r="B551">
        <v>13.2</v>
      </c>
      <c r="C551">
        <v>20.2</v>
      </c>
      <c r="D551">
        <v>28.5</v>
      </c>
      <c r="E551">
        <v>85.2</v>
      </c>
      <c r="F551">
        <v>0</v>
      </c>
    </row>
    <row r="552" spans="1:6" x14ac:dyDescent="0.25">
      <c r="A552">
        <v>0</v>
      </c>
      <c r="B552">
        <v>14.4</v>
      </c>
      <c r="C552">
        <v>29.8</v>
      </c>
      <c r="D552">
        <v>31.6</v>
      </c>
      <c r="E552">
        <v>92.4</v>
      </c>
      <c r="F552">
        <v>0</v>
      </c>
    </row>
    <row r="553" spans="1:6" x14ac:dyDescent="0.25">
      <c r="A553">
        <v>1</v>
      </c>
      <c r="B553">
        <v>13.7</v>
      </c>
      <c r="C553">
        <v>18.7</v>
      </c>
      <c r="D553">
        <v>30.3</v>
      </c>
      <c r="E553">
        <v>69.400000000000006</v>
      </c>
      <c r="F553">
        <v>0</v>
      </c>
    </row>
    <row r="554" spans="1:6" x14ac:dyDescent="0.25">
      <c r="A554">
        <v>1</v>
      </c>
      <c r="B554">
        <v>10.7</v>
      </c>
      <c r="C554">
        <v>19</v>
      </c>
      <c r="D554">
        <v>32.200000000000003</v>
      </c>
      <c r="E554">
        <v>77.099999999999994</v>
      </c>
      <c r="F554">
        <v>1</v>
      </c>
    </row>
    <row r="555" spans="1:6" x14ac:dyDescent="0.25">
      <c r="A555">
        <v>0</v>
      </c>
      <c r="B555">
        <v>16.3</v>
      </c>
      <c r="C555">
        <v>21.6</v>
      </c>
      <c r="D555">
        <v>32.299999999999997</v>
      </c>
      <c r="E555">
        <v>98.4</v>
      </c>
      <c r="F555">
        <v>0</v>
      </c>
    </row>
    <row r="556" spans="1:6" x14ac:dyDescent="0.25">
      <c r="A556">
        <v>0</v>
      </c>
      <c r="B556">
        <v>10.4</v>
      </c>
      <c r="C556">
        <v>23.5</v>
      </c>
      <c r="D556">
        <v>31.3</v>
      </c>
      <c r="E556">
        <v>85.9</v>
      </c>
      <c r="F556">
        <v>1</v>
      </c>
    </row>
    <row r="557" spans="1:6" x14ac:dyDescent="0.25">
      <c r="A557">
        <v>1</v>
      </c>
      <c r="B557">
        <v>16.8</v>
      </c>
      <c r="C557">
        <v>19.2</v>
      </c>
      <c r="D557">
        <v>28.1</v>
      </c>
      <c r="E557">
        <v>100.8</v>
      </c>
      <c r="F557">
        <v>0</v>
      </c>
    </row>
    <row r="558" spans="1:6" x14ac:dyDescent="0.25">
      <c r="A558">
        <v>1</v>
      </c>
      <c r="B558">
        <v>12.7</v>
      </c>
      <c r="C558">
        <v>26.4</v>
      </c>
      <c r="D558">
        <v>27.9</v>
      </c>
      <c r="E558">
        <v>101.5</v>
      </c>
      <c r="F558">
        <v>1</v>
      </c>
    </row>
    <row r="559" spans="1:6" x14ac:dyDescent="0.25">
      <c r="A559">
        <v>0</v>
      </c>
      <c r="B559">
        <v>11.8</v>
      </c>
      <c r="C559">
        <v>18.600000000000001</v>
      </c>
      <c r="D559">
        <v>29.4</v>
      </c>
      <c r="E559">
        <v>80.2</v>
      </c>
      <c r="F559">
        <v>1</v>
      </c>
    </row>
    <row r="560" spans="1:6" x14ac:dyDescent="0.25">
      <c r="A560">
        <v>1</v>
      </c>
      <c r="B560">
        <v>12.8</v>
      </c>
      <c r="C560">
        <v>16.3</v>
      </c>
      <c r="D560">
        <v>31.1</v>
      </c>
      <c r="E560">
        <v>100.9</v>
      </c>
      <c r="F560">
        <v>1</v>
      </c>
    </row>
    <row r="561" spans="1:6" x14ac:dyDescent="0.25">
      <c r="A561">
        <v>0</v>
      </c>
      <c r="B561">
        <v>11.1</v>
      </c>
      <c r="C561">
        <v>24.3</v>
      </c>
      <c r="D561">
        <v>32.5</v>
      </c>
      <c r="E561">
        <v>91</v>
      </c>
      <c r="F561">
        <v>1</v>
      </c>
    </row>
    <row r="562" spans="1:6" x14ac:dyDescent="0.25">
      <c r="A562">
        <v>0</v>
      </c>
      <c r="B562">
        <v>15.2</v>
      </c>
      <c r="C562">
        <v>20.6</v>
      </c>
      <c r="D562">
        <v>31.9</v>
      </c>
      <c r="E562">
        <v>99.7</v>
      </c>
      <c r="F562">
        <v>0</v>
      </c>
    </row>
    <row r="563" spans="1:6" x14ac:dyDescent="0.25">
      <c r="A563">
        <v>0</v>
      </c>
      <c r="B563">
        <v>13.5</v>
      </c>
      <c r="C563">
        <v>19</v>
      </c>
      <c r="D563">
        <v>28.8</v>
      </c>
      <c r="E563">
        <v>82.3</v>
      </c>
      <c r="F563">
        <v>0</v>
      </c>
    </row>
    <row r="564" spans="1:6" x14ac:dyDescent="0.25">
      <c r="A564">
        <v>1</v>
      </c>
      <c r="B564">
        <v>10.9</v>
      </c>
      <c r="C564">
        <v>30</v>
      </c>
      <c r="D564">
        <v>29.8</v>
      </c>
      <c r="E564">
        <v>98.5</v>
      </c>
      <c r="F564">
        <v>1</v>
      </c>
    </row>
    <row r="565" spans="1:6" x14ac:dyDescent="0.25">
      <c r="A565">
        <v>0</v>
      </c>
      <c r="B565">
        <v>13.4</v>
      </c>
      <c r="C565">
        <v>18.7</v>
      </c>
      <c r="D565">
        <v>31.9</v>
      </c>
      <c r="E565">
        <v>73.2</v>
      </c>
      <c r="F565">
        <v>0</v>
      </c>
    </row>
    <row r="566" spans="1:6" x14ac:dyDescent="0.25">
      <c r="A566">
        <v>1</v>
      </c>
      <c r="B566">
        <v>11.9</v>
      </c>
      <c r="C566">
        <v>28.8</v>
      </c>
      <c r="D566">
        <v>28.4</v>
      </c>
      <c r="E566">
        <v>86.4</v>
      </c>
      <c r="F566">
        <v>1</v>
      </c>
    </row>
    <row r="567" spans="1:6" x14ac:dyDescent="0.25">
      <c r="A567">
        <v>0</v>
      </c>
      <c r="B567">
        <v>15.2</v>
      </c>
      <c r="C567">
        <v>27</v>
      </c>
      <c r="D567">
        <v>32.4</v>
      </c>
      <c r="E567">
        <v>71.599999999999994</v>
      </c>
      <c r="F567">
        <v>0</v>
      </c>
    </row>
    <row r="568" spans="1:6" x14ac:dyDescent="0.25">
      <c r="A568">
        <v>1</v>
      </c>
      <c r="B568">
        <v>11.4</v>
      </c>
      <c r="C568">
        <v>21</v>
      </c>
      <c r="D568">
        <v>31.7</v>
      </c>
      <c r="E568">
        <v>88.9</v>
      </c>
      <c r="F568">
        <v>1</v>
      </c>
    </row>
    <row r="569" spans="1:6" x14ac:dyDescent="0.25">
      <c r="A569">
        <v>0</v>
      </c>
      <c r="B569">
        <v>16.5</v>
      </c>
      <c r="C569">
        <v>27.6</v>
      </c>
      <c r="D569">
        <v>29.3</v>
      </c>
      <c r="E569">
        <v>77.8</v>
      </c>
      <c r="F569">
        <v>0</v>
      </c>
    </row>
    <row r="570" spans="1:6" x14ac:dyDescent="0.25">
      <c r="A570">
        <v>1</v>
      </c>
      <c r="B570">
        <v>11.6</v>
      </c>
      <c r="C570">
        <v>24.3</v>
      </c>
      <c r="D570">
        <v>29.1</v>
      </c>
      <c r="E570">
        <v>85.7</v>
      </c>
      <c r="F570">
        <v>1</v>
      </c>
    </row>
    <row r="571" spans="1:6" x14ac:dyDescent="0.25">
      <c r="A571">
        <v>0</v>
      </c>
      <c r="B571">
        <v>13.7</v>
      </c>
      <c r="C571">
        <v>19.5</v>
      </c>
      <c r="D571">
        <v>31.7</v>
      </c>
      <c r="E571">
        <v>77.099999999999994</v>
      </c>
      <c r="F571">
        <v>0</v>
      </c>
    </row>
    <row r="572" spans="1:6" x14ac:dyDescent="0.25">
      <c r="A572">
        <v>1</v>
      </c>
      <c r="B572">
        <v>12.9</v>
      </c>
      <c r="C572">
        <v>27.4</v>
      </c>
      <c r="D572">
        <v>28.2</v>
      </c>
      <c r="E572">
        <v>78.8</v>
      </c>
      <c r="F572">
        <v>1</v>
      </c>
    </row>
    <row r="573" spans="1:6" x14ac:dyDescent="0.25">
      <c r="A573">
        <v>1</v>
      </c>
      <c r="B573">
        <v>11.8</v>
      </c>
      <c r="C573">
        <v>22</v>
      </c>
      <c r="D573">
        <v>29.3</v>
      </c>
      <c r="E573">
        <v>71.099999999999994</v>
      </c>
      <c r="F573">
        <v>1</v>
      </c>
    </row>
    <row r="574" spans="1:6" x14ac:dyDescent="0.25">
      <c r="A574">
        <v>0</v>
      </c>
      <c r="B574">
        <v>15.5</v>
      </c>
      <c r="C574">
        <v>16.899999999999999</v>
      </c>
      <c r="D574">
        <v>31.2</v>
      </c>
      <c r="E574">
        <v>95.9</v>
      </c>
      <c r="F574">
        <v>0</v>
      </c>
    </row>
    <row r="575" spans="1:6" x14ac:dyDescent="0.25">
      <c r="A575">
        <v>1</v>
      </c>
      <c r="B575">
        <v>12.4</v>
      </c>
      <c r="C575">
        <v>24.8</v>
      </c>
      <c r="D575">
        <v>29.6</v>
      </c>
      <c r="E575">
        <v>93.4</v>
      </c>
      <c r="F575">
        <v>1</v>
      </c>
    </row>
    <row r="576" spans="1:6" x14ac:dyDescent="0.25">
      <c r="A576">
        <v>1</v>
      </c>
      <c r="B576">
        <v>14.5</v>
      </c>
      <c r="C576">
        <v>25.2</v>
      </c>
      <c r="D576">
        <v>31.5</v>
      </c>
      <c r="E576">
        <v>91.7</v>
      </c>
      <c r="F576">
        <v>0</v>
      </c>
    </row>
    <row r="577" spans="1:6" x14ac:dyDescent="0.25">
      <c r="A577">
        <v>0</v>
      </c>
      <c r="B577">
        <v>10.4</v>
      </c>
      <c r="C577">
        <v>20</v>
      </c>
      <c r="D577">
        <v>32.200000000000003</v>
      </c>
      <c r="E577">
        <v>101.2</v>
      </c>
      <c r="F577">
        <v>1</v>
      </c>
    </row>
    <row r="578" spans="1:6" x14ac:dyDescent="0.25">
      <c r="A578">
        <v>1</v>
      </c>
      <c r="B578">
        <v>10.4</v>
      </c>
      <c r="C578">
        <v>17.100000000000001</v>
      </c>
      <c r="D578">
        <v>31.4</v>
      </c>
      <c r="E578">
        <v>90.6</v>
      </c>
      <c r="F578">
        <v>1</v>
      </c>
    </row>
    <row r="579" spans="1:6" x14ac:dyDescent="0.25">
      <c r="A579">
        <v>1</v>
      </c>
      <c r="B579">
        <v>12.8</v>
      </c>
      <c r="C579">
        <v>20.3</v>
      </c>
      <c r="D579">
        <v>31.1</v>
      </c>
      <c r="E579">
        <v>100.1</v>
      </c>
      <c r="F579">
        <v>1</v>
      </c>
    </row>
    <row r="580" spans="1:6" x14ac:dyDescent="0.25">
      <c r="A580">
        <v>1</v>
      </c>
      <c r="B580">
        <v>14.4</v>
      </c>
      <c r="C580">
        <v>18.399999999999999</v>
      </c>
      <c r="D580">
        <v>32.1</v>
      </c>
      <c r="E580">
        <v>95.6</v>
      </c>
      <c r="F580">
        <v>0</v>
      </c>
    </row>
    <row r="581" spans="1:6" x14ac:dyDescent="0.25">
      <c r="A581">
        <v>1</v>
      </c>
      <c r="B581">
        <v>11.7</v>
      </c>
      <c r="C581">
        <v>18.399999999999999</v>
      </c>
      <c r="D581">
        <v>32.1</v>
      </c>
      <c r="E581">
        <v>74.8</v>
      </c>
      <c r="F581">
        <v>1</v>
      </c>
    </row>
    <row r="582" spans="1:6" x14ac:dyDescent="0.25">
      <c r="A582">
        <v>0</v>
      </c>
      <c r="B582">
        <v>14.8</v>
      </c>
      <c r="C582">
        <v>20.399999999999999</v>
      </c>
      <c r="D582">
        <v>28.5</v>
      </c>
      <c r="E582">
        <v>91.1</v>
      </c>
      <c r="F582">
        <v>0</v>
      </c>
    </row>
    <row r="583" spans="1:6" x14ac:dyDescent="0.25">
      <c r="A583">
        <v>1</v>
      </c>
      <c r="B583">
        <v>11.9</v>
      </c>
      <c r="C583">
        <v>22.8</v>
      </c>
      <c r="D583">
        <v>32.1</v>
      </c>
      <c r="E583">
        <v>101.2</v>
      </c>
      <c r="F583">
        <v>1</v>
      </c>
    </row>
    <row r="584" spans="1:6" x14ac:dyDescent="0.25">
      <c r="A584">
        <v>1</v>
      </c>
      <c r="B584">
        <v>11.5</v>
      </c>
      <c r="C584">
        <v>24.1</v>
      </c>
      <c r="D584">
        <v>30.8</v>
      </c>
      <c r="E584">
        <v>74.7</v>
      </c>
      <c r="F584">
        <v>1</v>
      </c>
    </row>
    <row r="585" spans="1:6" x14ac:dyDescent="0.25">
      <c r="A585">
        <v>0</v>
      </c>
      <c r="B585">
        <v>13.3</v>
      </c>
      <c r="C585">
        <v>16.399999999999999</v>
      </c>
      <c r="D585">
        <v>29.1</v>
      </c>
      <c r="E585">
        <v>70</v>
      </c>
      <c r="F585">
        <v>0</v>
      </c>
    </row>
    <row r="586" spans="1:6" x14ac:dyDescent="0.25">
      <c r="A586">
        <v>1</v>
      </c>
      <c r="B586">
        <v>13.1</v>
      </c>
      <c r="C586">
        <v>25.6</v>
      </c>
      <c r="D586">
        <v>28.4</v>
      </c>
      <c r="E586">
        <v>77.5</v>
      </c>
      <c r="F586">
        <v>1</v>
      </c>
    </row>
    <row r="587" spans="1:6" x14ac:dyDescent="0.25">
      <c r="A587">
        <v>0</v>
      </c>
      <c r="B587">
        <v>15.5</v>
      </c>
      <c r="C587">
        <v>21.9</v>
      </c>
      <c r="D587">
        <v>31.4</v>
      </c>
      <c r="E587">
        <v>100.5</v>
      </c>
      <c r="F587">
        <v>0</v>
      </c>
    </row>
    <row r="588" spans="1:6" x14ac:dyDescent="0.25">
      <c r="A588">
        <v>0</v>
      </c>
      <c r="B588">
        <v>15.9</v>
      </c>
      <c r="C588">
        <v>28.7</v>
      </c>
      <c r="D588">
        <v>31</v>
      </c>
      <c r="E588">
        <v>81.599999999999994</v>
      </c>
      <c r="F588">
        <v>0</v>
      </c>
    </row>
    <row r="589" spans="1:6" x14ac:dyDescent="0.25">
      <c r="A589">
        <v>1</v>
      </c>
      <c r="B589">
        <v>15.3</v>
      </c>
      <c r="C589">
        <v>25.3</v>
      </c>
      <c r="D589">
        <v>32.200000000000003</v>
      </c>
      <c r="E589">
        <v>96.6</v>
      </c>
      <c r="F589">
        <v>0</v>
      </c>
    </row>
    <row r="590" spans="1:6" x14ac:dyDescent="0.25">
      <c r="A590">
        <v>1</v>
      </c>
      <c r="B590">
        <v>16.3</v>
      </c>
      <c r="C590">
        <v>20.9</v>
      </c>
      <c r="D590">
        <v>31.2</v>
      </c>
      <c r="E590">
        <v>72.5</v>
      </c>
      <c r="F590">
        <v>0</v>
      </c>
    </row>
    <row r="591" spans="1:6" x14ac:dyDescent="0.25">
      <c r="A591">
        <v>1</v>
      </c>
      <c r="B591">
        <v>16.899999999999999</v>
      </c>
      <c r="C591">
        <v>24.2</v>
      </c>
      <c r="D591">
        <v>32.1</v>
      </c>
      <c r="E591">
        <v>92.5</v>
      </c>
      <c r="F591">
        <v>0</v>
      </c>
    </row>
    <row r="592" spans="1:6" x14ac:dyDescent="0.25">
      <c r="A592">
        <v>0</v>
      </c>
      <c r="B592">
        <v>11.5</v>
      </c>
      <c r="C592">
        <v>22.9</v>
      </c>
      <c r="D592">
        <v>28.8</v>
      </c>
      <c r="E592">
        <v>72</v>
      </c>
      <c r="F592">
        <v>1</v>
      </c>
    </row>
    <row r="593" spans="1:6" x14ac:dyDescent="0.25">
      <c r="A593">
        <v>0</v>
      </c>
      <c r="B593">
        <v>16.100000000000001</v>
      </c>
      <c r="C593">
        <v>20.8</v>
      </c>
      <c r="D593">
        <v>31.2</v>
      </c>
      <c r="E593">
        <v>79.099999999999994</v>
      </c>
      <c r="F593">
        <v>0</v>
      </c>
    </row>
    <row r="594" spans="1:6" x14ac:dyDescent="0.25">
      <c r="A594">
        <v>1</v>
      </c>
      <c r="B594">
        <v>16.5</v>
      </c>
      <c r="C594">
        <v>21.9</v>
      </c>
      <c r="D594">
        <v>30.7</v>
      </c>
      <c r="E594">
        <v>71.099999999999994</v>
      </c>
      <c r="F594">
        <v>0</v>
      </c>
    </row>
    <row r="595" spans="1:6" x14ac:dyDescent="0.25">
      <c r="A595">
        <v>0</v>
      </c>
      <c r="B595">
        <v>13.4</v>
      </c>
      <c r="C595">
        <v>27.9</v>
      </c>
      <c r="D595">
        <v>29</v>
      </c>
      <c r="E595">
        <v>84.4</v>
      </c>
      <c r="F595">
        <v>0</v>
      </c>
    </row>
    <row r="596" spans="1:6" x14ac:dyDescent="0.25">
      <c r="A596">
        <v>1</v>
      </c>
      <c r="B596">
        <v>16.8</v>
      </c>
      <c r="C596">
        <v>19.899999999999999</v>
      </c>
      <c r="D596">
        <v>32.4</v>
      </c>
      <c r="E596">
        <v>90.9</v>
      </c>
      <c r="F596">
        <v>0</v>
      </c>
    </row>
    <row r="597" spans="1:6" x14ac:dyDescent="0.25">
      <c r="A597">
        <v>0</v>
      </c>
      <c r="B597">
        <v>12.2</v>
      </c>
      <c r="C597">
        <v>23.3</v>
      </c>
      <c r="D597">
        <v>30.4</v>
      </c>
      <c r="E597">
        <v>100.2</v>
      </c>
      <c r="F597">
        <v>0</v>
      </c>
    </row>
    <row r="598" spans="1:6" x14ac:dyDescent="0.25">
      <c r="A598">
        <v>1</v>
      </c>
      <c r="B598">
        <v>9.6</v>
      </c>
      <c r="C598">
        <v>23</v>
      </c>
      <c r="D598">
        <v>30.3</v>
      </c>
      <c r="E598">
        <v>87.7</v>
      </c>
      <c r="F598">
        <v>1</v>
      </c>
    </row>
    <row r="599" spans="1:6" x14ac:dyDescent="0.25">
      <c r="A599">
        <v>0</v>
      </c>
      <c r="B599">
        <v>10.7</v>
      </c>
      <c r="C599">
        <v>27.9</v>
      </c>
      <c r="D599">
        <v>31.3</v>
      </c>
      <c r="E599">
        <v>86.4</v>
      </c>
      <c r="F599">
        <v>1</v>
      </c>
    </row>
    <row r="600" spans="1:6" x14ac:dyDescent="0.25">
      <c r="A600">
        <v>0</v>
      </c>
      <c r="B600">
        <v>12.6</v>
      </c>
      <c r="C600">
        <v>18.3</v>
      </c>
      <c r="D600">
        <v>31.7</v>
      </c>
      <c r="E600">
        <v>82.8</v>
      </c>
      <c r="F600">
        <v>0</v>
      </c>
    </row>
    <row r="601" spans="1:6" x14ac:dyDescent="0.25">
      <c r="A601">
        <v>1</v>
      </c>
      <c r="B601">
        <v>14.3</v>
      </c>
      <c r="C601">
        <v>17.5</v>
      </c>
      <c r="D601">
        <v>30.6</v>
      </c>
      <c r="E601">
        <v>75</v>
      </c>
      <c r="F601">
        <v>0</v>
      </c>
    </row>
    <row r="602" spans="1:6" x14ac:dyDescent="0.25">
      <c r="A602">
        <v>1</v>
      </c>
      <c r="B602">
        <v>11.7</v>
      </c>
      <c r="C602">
        <v>24.5</v>
      </c>
      <c r="D602">
        <v>31.1</v>
      </c>
      <c r="E602">
        <v>86.1</v>
      </c>
      <c r="F602">
        <v>1</v>
      </c>
    </row>
    <row r="603" spans="1:6" x14ac:dyDescent="0.25">
      <c r="A603">
        <v>1</v>
      </c>
      <c r="B603">
        <v>13.3</v>
      </c>
      <c r="C603">
        <v>25.1</v>
      </c>
      <c r="D603">
        <v>30.6</v>
      </c>
      <c r="E603">
        <v>73.7</v>
      </c>
      <c r="F603">
        <v>1</v>
      </c>
    </row>
    <row r="604" spans="1:6" x14ac:dyDescent="0.25">
      <c r="A604">
        <v>0</v>
      </c>
      <c r="B604">
        <v>16.3</v>
      </c>
      <c r="C604">
        <v>19.7</v>
      </c>
      <c r="D604">
        <v>31.6</v>
      </c>
      <c r="E604">
        <v>75.400000000000006</v>
      </c>
      <c r="F604">
        <v>0</v>
      </c>
    </row>
    <row r="605" spans="1:6" x14ac:dyDescent="0.25">
      <c r="A605">
        <v>0</v>
      </c>
      <c r="B605">
        <v>12.2</v>
      </c>
      <c r="C605">
        <v>17.600000000000001</v>
      </c>
      <c r="D605">
        <v>30.7</v>
      </c>
      <c r="E605">
        <v>88.8</v>
      </c>
      <c r="F605">
        <v>0</v>
      </c>
    </row>
    <row r="606" spans="1:6" x14ac:dyDescent="0.25">
      <c r="A606">
        <v>0</v>
      </c>
      <c r="B606">
        <v>12.6</v>
      </c>
      <c r="C606">
        <v>21.5</v>
      </c>
      <c r="D606">
        <v>31.6</v>
      </c>
      <c r="E606">
        <v>99.7</v>
      </c>
      <c r="F606">
        <v>0</v>
      </c>
    </row>
    <row r="607" spans="1:6" x14ac:dyDescent="0.25">
      <c r="A607">
        <v>1</v>
      </c>
      <c r="B607">
        <v>13.9</v>
      </c>
      <c r="C607">
        <v>20.6</v>
      </c>
      <c r="D607">
        <v>29.2</v>
      </c>
      <c r="E607">
        <v>98.5</v>
      </c>
      <c r="F607">
        <v>0</v>
      </c>
    </row>
    <row r="608" spans="1:6" x14ac:dyDescent="0.25">
      <c r="A608">
        <v>0</v>
      </c>
      <c r="B608">
        <v>11.2</v>
      </c>
      <c r="C608">
        <v>16.600000000000001</v>
      </c>
      <c r="D608">
        <v>30.2</v>
      </c>
      <c r="E608">
        <v>79.8</v>
      </c>
      <c r="F608">
        <v>1</v>
      </c>
    </row>
    <row r="609" spans="1:6" x14ac:dyDescent="0.25">
      <c r="A609">
        <v>1</v>
      </c>
      <c r="B609">
        <v>10.7</v>
      </c>
      <c r="C609">
        <v>18.5</v>
      </c>
      <c r="D609">
        <v>28.4</v>
      </c>
      <c r="E609">
        <v>91.6</v>
      </c>
      <c r="F609">
        <v>1</v>
      </c>
    </row>
    <row r="610" spans="1:6" x14ac:dyDescent="0.25">
      <c r="A610">
        <v>1</v>
      </c>
      <c r="B610">
        <v>11</v>
      </c>
      <c r="C610">
        <v>25</v>
      </c>
      <c r="D610">
        <v>30.4</v>
      </c>
      <c r="E610">
        <v>81.400000000000006</v>
      </c>
      <c r="F610">
        <v>1</v>
      </c>
    </row>
    <row r="611" spans="1:6" x14ac:dyDescent="0.25">
      <c r="A611">
        <v>1</v>
      </c>
      <c r="B611">
        <v>13</v>
      </c>
      <c r="C611">
        <v>28.6</v>
      </c>
      <c r="D611">
        <v>32.200000000000003</v>
      </c>
      <c r="E611">
        <v>69.8</v>
      </c>
      <c r="F611">
        <v>1</v>
      </c>
    </row>
    <row r="612" spans="1:6" x14ac:dyDescent="0.25">
      <c r="A612">
        <v>0</v>
      </c>
      <c r="B612">
        <v>16.899999999999999</v>
      </c>
      <c r="C612">
        <v>16.7</v>
      </c>
      <c r="D612">
        <v>30</v>
      </c>
      <c r="E612">
        <v>78.400000000000006</v>
      </c>
      <c r="F612">
        <v>0</v>
      </c>
    </row>
    <row r="613" spans="1:6" x14ac:dyDescent="0.25">
      <c r="A613">
        <v>1</v>
      </c>
      <c r="B613">
        <v>13.7</v>
      </c>
      <c r="C613">
        <v>24.1</v>
      </c>
      <c r="D613">
        <v>27.8</v>
      </c>
      <c r="E613">
        <v>86.3</v>
      </c>
      <c r="F613">
        <v>0</v>
      </c>
    </row>
    <row r="614" spans="1:6" x14ac:dyDescent="0.25">
      <c r="A614">
        <v>1</v>
      </c>
      <c r="B614">
        <v>16.8</v>
      </c>
      <c r="C614">
        <v>24.3</v>
      </c>
      <c r="D614">
        <v>30.5</v>
      </c>
      <c r="E614">
        <v>90.7</v>
      </c>
      <c r="F614">
        <v>0</v>
      </c>
    </row>
    <row r="615" spans="1:6" x14ac:dyDescent="0.25">
      <c r="A615">
        <v>0</v>
      </c>
      <c r="B615">
        <v>13.4</v>
      </c>
      <c r="C615">
        <v>21.5</v>
      </c>
      <c r="D615">
        <v>30.4</v>
      </c>
      <c r="E615">
        <v>92.7</v>
      </c>
      <c r="F615">
        <v>0</v>
      </c>
    </row>
    <row r="616" spans="1:6" x14ac:dyDescent="0.25">
      <c r="A616">
        <v>1</v>
      </c>
      <c r="B616">
        <v>13.7</v>
      </c>
      <c r="C616">
        <v>23.5</v>
      </c>
      <c r="D616">
        <v>29</v>
      </c>
      <c r="E616">
        <v>70.599999999999994</v>
      </c>
      <c r="F616">
        <v>0</v>
      </c>
    </row>
    <row r="617" spans="1:6" x14ac:dyDescent="0.25">
      <c r="A617">
        <v>0</v>
      </c>
      <c r="B617">
        <v>11.6</v>
      </c>
      <c r="C617">
        <v>17.5</v>
      </c>
      <c r="D617">
        <v>31.6</v>
      </c>
      <c r="E617">
        <v>70.5</v>
      </c>
      <c r="F617">
        <v>1</v>
      </c>
    </row>
    <row r="618" spans="1:6" x14ac:dyDescent="0.25">
      <c r="A618">
        <v>1</v>
      </c>
      <c r="B618">
        <v>13.7</v>
      </c>
      <c r="C618">
        <v>18</v>
      </c>
      <c r="D618">
        <v>31.1</v>
      </c>
      <c r="E618">
        <v>89.2</v>
      </c>
      <c r="F618">
        <v>0</v>
      </c>
    </row>
    <row r="619" spans="1:6" x14ac:dyDescent="0.25">
      <c r="A619">
        <v>0</v>
      </c>
      <c r="B619">
        <v>13.1</v>
      </c>
      <c r="C619">
        <v>20</v>
      </c>
      <c r="D619">
        <v>29.7</v>
      </c>
      <c r="E619">
        <v>89.7</v>
      </c>
      <c r="F619">
        <v>0</v>
      </c>
    </row>
    <row r="620" spans="1:6" x14ac:dyDescent="0.25">
      <c r="A620">
        <v>1</v>
      </c>
      <c r="B620">
        <v>11.1</v>
      </c>
      <c r="C620">
        <v>22.1</v>
      </c>
      <c r="D620">
        <v>29.4</v>
      </c>
      <c r="E620">
        <v>97</v>
      </c>
      <c r="F620">
        <v>1</v>
      </c>
    </row>
    <row r="621" spans="1:6" x14ac:dyDescent="0.25">
      <c r="A621">
        <v>1</v>
      </c>
      <c r="B621">
        <v>15.3</v>
      </c>
      <c r="C621">
        <v>18.100000000000001</v>
      </c>
      <c r="D621">
        <v>31.4</v>
      </c>
      <c r="E621">
        <v>83.5</v>
      </c>
      <c r="F621">
        <v>0</v>
      </c>
    </row>
    <row r="622" spans="1:6" x14ac:dyDescent="0.25">
      <c r="A622">
        <v>0</v>
      </c>
      <c r="B622">
        <v>15.8</v>
      </c>
      <c r="C622">
        <v>28.6</v>
      </c>
      <c r="D622">
        <v>31.1</v>
      </c>
      <c r="E622">
        <v>96.6</v>
      </c>
      <c r="F622">
        <v>0</v>
      </c>
    </row>
    <row r="623" spans="1:6" x14ac:dyDescent="0.25">
      <c r="A623">
        <v>1</v>
      </c>
      <c r="B623">
        <v>11.5</v>
      </c>
      <c r="C623">
        <v>18.5</v>
      </c>
      <c r="D623">
        <v>31.5</v>
      </c>
      <c r="E623">
        <v>72.2</v>
      </c>
      <c r="F623">
        <v>1</v>
      </c>
    </row>
    <row r="624" spans="1:6" x14ac:dyDescent="0.25">
      <c r="A624">
        <v>0</v>
      </c>
      <c r="B624">
        <v>14.6</v>
      </c>
      <c r="C624">
        <v>22.7</v>
      </c>
      <c r="D624">
        <v>28.1</v>
      </c>
      <c r="E624">
        <v>93.8</v>
      </c>
      <c r="F624">
        <v>0</v>
      </c>
    </row>
    <row r="625" spans="1:6" x14ac:dyDescent="0.25">
      <c r="A625">
        <v>1</v>
      </c>
      <c r="B625">
        <v>16.399999999999999</v>
      </c>
      <c r="C625">
        <v>24.4</v>
      </c>
      <c r="D625">
        <v>30.6</v>
      </c>
      <c r="E625">
        <v>77.400000000000006</v>
      </c>
      <c r="F625">
        <v>0</v>
      </c>
    </row>
    <row r="626" spans="1:6" x14ac:dyDescent="0.25">
      <c r="A626">
        <v>1</v>
      </c>
      <c r="B626">
        <v>12.4</v>
      </c>
      <c r="C626">
        <v>19</v>
      </c>
      <c r="D626">
        <v>31.9</v>
      </c>
      <c r="E626">
        <v>73.7</v>
      </c>
      <c r="F626">
        <v>1</v>
      </c>
    </row>
    <row r="627" spans="1:6" x14ac:dyDescent="0.25">
      <c r="A627">
        <v>1</v>
      </c>
      <c r="B627">
        <v>12.7</v>
      </c>
      <c r="C627">
        <v>29</v>
      </c>
      <c r="D627">
        <v>31.6</v>
      </c>
      <c r="E627">
        <v>78.599999999999994</v>
      </c>
      <c r="F627">
        <v>1</v>
      </c>
    </row>
    <row r="628" spans="1:6" x14ac:dyDescent="0.25">
      <c r="A628">
        <v>1</v>
      </c>
      <c r="B628">
        <v>10.9</v>
      </c>
      <c r="C628">
        <v>29.4</v>
      </c>
      <c r="D628">
        <v>31.1</v>
      </c>
      <c r="E628">
        <v>91.7</v>
      </c>
      <c r="F628">
        <v>1</v>
      </c>
    </row>
    <row r="629" spans="1:6" x14ac:dyDescent="0.25">
      <c r="A629">
        <v>1</v>
      </c>
      <c r="B629">
        <v>11.5</v>
      </c>
      <c r="C629">
        <v>21.4</v>
      </c>
      <c r="D629">
        <v>28.7</v>
      </c>
      <c r="E629">
        <v>98.6</v>
      </c>
      <c r="F629">
        <v>1</v>
      </c>
    </row>
    <row r="630" spans="1:6" x14ac:dyDescent="0.25">
      <c r="A630">
        <v>1</v>
      </c>
      <c r="B630">
        <v>12.8</v>
      </c>
      <c r="C630">
        <v>17.8</v>
      </c>
      <c r="D630">
        <v>29.1</v>
      </c>
      <c r="E630">
        <v>79.400000000000006</v>
      </c>
      <c r="F630">
        <v>1</v>
      </c>
    </row>
    <row r="631" spans="1:6" x14ac:dyDescent="0.25">
      <c r="A631">
        <v>1</v>
      </c>
      <c r="B631">
        <v>16.100000000000001</v>
      </c>
      <c r="C631">
        <v>21.6</v>
      </c>
      <c r="D631">
        <v>28.8</v>
      </c>
      <c r="E631">
        <v>96.1</v>
      </c>
      <c r="F631">
        <v>0</v>
      </c>
    </row>
    <row r="632" spans="1:6" x14ac:dyDescent="0.25">
      <c r="A632">
        <v>0</v>
      </c>
      <c r="B632">
        <v>13.1</v>
      </c>
      <c r="C632">
        <v>21.6</v>
      </c>
      <c r="D632">
        <v>29.2</v>
      </c>
      <c r="E632">
        <v>89.6</v>
      </c>
      <c r="F632">
        <v>0</v>
      </c>
    </row>
    <row r="633" spans="1:6" x14ac:dyDescent="0.25">
      <c r="A633">
        <v>0</v>
      </c>
      <c r="B633">
        <v>13.9</v>
      </c>
      <c r="C633">
        <v>29.7</v>
      </c>
      <c r="D633">
        <v>28.4</v>
      </c>
      <c r="E633">
        <v>70.7</v>
      </c>
      <c r="F633">
        <v>0</v>
      </c>
    </row>
    <row r="634" spans="1:6" x14ac:dyDescent="0.25">
      <c r="A634">
        <v>1</v>
      </c>
      <c r="B634">
        <v>13.9</v>
      </c>
      <c r="C634">
        <v>25.9</v>
      </c>
      <c r="D634">
        <v>31.3</v>
      </c>
      <c r="E634">
        <v>71.2</v>
      </c>
      <c r="F634">
        <v>0</v>
      </c>
    </row>
    <row r="635" spans="1:6" x14ac:dyDescent="0.25">
      <c r="A635">
        <v>1</v>
      </c>
      <c r="B635">
        <v>15.7</v>
      </c>
      <c r="C635">
        <v>17.7</v>
      </c>
      <c r="D635">
        <v>28.3</v>
      </c>
      <c r="E635">
        <v>76.8</v>
      </c>
      <c r="F635">
        <v>0</v>
      </c>
    </row>
    <row r="636" spans="1:6" x14ac:dyDescent="0.25">
      <c r="A636">
        <v>1</v>
      </c>
      <c r="B636">
        <v>15.6</v>
      </c>
      <c r="C636">
        <v>19.399999999999999</v>
      </c>
      <c r="D636">
        <v>29.4</v>
      </c>
      <c r="E636">
        <v>88.2</v>
      </c>
      <c r="F636">
        <v>0</v>
      </c>
    </row>
    <row r="637" spans="1:6" x14ac:dyDescent="0.25">
      <c r="A637">
        <v>1</v>
      </c>
      <c r="B637">
        <v>11.9</v>
      </c>
      <c r="C637">
        <v>22.3</v>
      </c>
      <c r="D637">
        <v>28.6</v>
      </c>
      <c r="E637">
        <v>89.5</v>
      </c>
      <c r="F637">
        <v>1</v>
      </c>
    </row>
    <row r="638" spans="1:6" x14ac:dyDescent="0.25">
      <c r="A638">
        <v>1</v>
      </c>
      <c r="B638">
        <v>14</v>
      </c>
      <c r="C638">
        <v>23.6</v>
      </c>
      <c r="D638">
        <v>28.3</v>
      </c>
      <c r="E638">
        <v>89.8</v>
      </c>
      <c r="F638">
        <v>0</v>
      </c>
    </row>
    <row r="639" spans="1:6" x14ac:dyDescent="0.25">
      <c r="A639">
        <v>1</v>
      </c>
      <c r="B639">
        <v>12.1</v>
      </c>
      <c r="C639">
        <v>21.7</v>
      </c>
      <c r="D639">
        <v>30.9</v>
      </c>
      <c r="E639">
        <v>70.8</v>
      </c>
      <c r="F639">
        <v>1</v>
      </c>
    </row>
    <row r="640" spans="1:6" x14ac:dyDescent="0.25">
      <c r="A640">
        <v>0</v>
      </c>
      <c r="B640">
        <v>11.1</v>
      </c>
      <c r="C640">
        <v>29.8</v>
      </c>
      <c r="D640">
        <v>29.2</v>
      </c>
      <c r="E640">
        <v>78</v>
      </c>
      <c r="F640">
        <v>1</v>
      </c>
    </row>
    <row r="641" spans="1:6" x14ac:dyDescent="0.25">
      <c r="A641">
        <v>0</v>
      </c>
      <c r="B641">
        <v>10.5</v>
      </c>
      <c r="C641">
        <v>17.899999999999999</v>
      </c>
      <c r="D641">
        <v>29.1</v>
      </c>
      <c r="E641">
        <v>80.900000000000006</v>
      </c>
      <c r="F641">
        <v>1</v>
      </c>
    </row>
    <row r="642" spans="1:6" x14ac:dyDescent="0.25">
      <c r="A642">
        <v>1</v>
      </c>
      <c r="B642">
        <v>11.7</v>
      </c>
      <c r="C642">
        <v>28.1</v>
      </c>
      <c r="D642">
        <v>31.9</v>
      </c>
      <c r="E642">
        <v>72.7</v>
      </c>
      <c r="F642">
        <v>1</v>
      </c>
    </row>
    <row r="643" spans="1:6" x14ac:dyDescent="0.25">
      <c r="A643">
        <v>1</v>
      </c>
      <c r="B643">
        <v>16.7</v>
      </c>
      <c r="C643">
        <v>16.5</v>
      </c>
      <c r="D643">
        <v>30.5</v>
      </c>
      <c r="E643">
        <v>94.5</v>
      </c>
      <c r="F643">
        <v>0</v>
      </c>
    </row>
    <row r="644" spans="1:6" x14ac:dyDescent="0.25">
      <c r="A644">
        <v>0</v>
      </c>
      <c r="B644">
        <v>13.9</v>
      </c>
      <c r="C644">
        <v>29.3</v>
      </c>
      <c r="D644">
        <v>32.200000000000003</v>
      </c>
      <c r="E644">
        <v>78.7</v>
      </c>
      <c r="F644">
        <v>0</v>
      </c>
    </row>
    <row r="645" spans="1:6" x14ac:dyDescent="0.25">
      <c r="A645">
        <v>1</v>
      </c>
      <c r="B645">
        <v>13.1</v>
      </c>
      <c r="C645">
        <v>22.2</v>
      </c>
      <c r="D645">
        <v>31.5</v>
      </c>
      <c r="E645">
        <v>87.3</v>
      </c>
      <c r="F645">
        <v>1</v>
      </c>
    </row>
    <row r="646" spans="1:6" x14ac:dyDescent="0.25">
      <c r="A646">
        <v>1</v>
      </c>
      <c r="B646">
        <v>11.1</v>
      </c>
      <c r="C646">
        <v>21.2</v>
      </c>
      <c r="D646">
        <v>31</v>
      </c>
      <c r="E646">
        <v>87</v>
      </c>
      <c r="F646">
        <v>1</v>
      </c>
    </row>
    <row r="647" spans="1:6" x14ac:dyDescent="0.25">
      <c r="A647">
        <v>1</v>
      </c>
      <c r="B647">
        <v>12.4</v>
      </c>
      <c r="C647">
        <v>23.3</v>
      </c>
      <c r="D647">
        <v>31.3</v>
      </c>
      <c r="E647">
        <v>70.099999999999994</v>
      </c>
      <c r="F647">
        <v>1</v>
      </c>
    </row>
    <row r="648" spans="1:6" x14ac:dyDescent="0.25">
      <c r="A648">
        <v>0</v>
      </c>
      <c r="B648">
        <v>15.5</v>
      </c>
      <c r="C648">
        <v>25.5</v>
      </c>
      <c r="D648">
        <v>27.8</v>
      </c>
      <c r="E648">
        <v>70.900000000000006</v>
      </c>
      <c r="F648">
        <v>0</v>
      </c>
    </row>
    <row r="649" spans="1:6" x14ac:dyDescent="0.25">
      <c r="A649">
        <v>0</v>
      </c>
      <c r="B649">
        <v>11.2</v>
      </c>
      <c r="C649">
        <v>20.100000000000001</v>
      </c>
      <c r="D649">
        <v>30.8</v>
      </c>
      <c r="E649">
        <v>76.400000000000006</v>
      </c>
      <c r="F649">
        <v>1</v>
      </c>
    </row>
    <row r="650" spans="1:6" x14ac:dyDescent="0.25">
      <c r="A650">
        <v>1</v>
      </c>
      <c r="B650">
        <v>10.4</v>
      </c>
      <c r="C650">
        <v>18.899999999999999</v>
      </c>
      <c r="D650">
        <v>27.8</v>
      </c>
      <c r="E650">
        <v>75.099999999999994</v>
      </c>
      <c r="F650">
        <v>1</v>
      </c>
    </row>
    <row r="651" spans="1:6" x14ac:dyDescent="0.25">
      <c r="A651">
        <v>1</v>
      </c>
      <c r="B651">
        <v>12</v>
      </c>
      <c r="C651">
        <v>17.2</v>
      </c>
      <c r="D651">
        <v>31.3</v>
      </c>
      <c r="E651">
        <v>77.400000000000006</v>
      </c>
      <c r="F651">
        <v>1</v>
      </c>
    </row>
    <row r="652" spans="1:6" x14ac:dyDescent="0.25">
      <c r="A652">
        <v>1</v>
      </c>
      <c r="B652">
        <v>12</v>
      </c>
      <c r="C652">
        <v>18</v>
      </c>
      <c r="D652">
        <v>31.2</v>
      </c>
      <c r="E652">
        <v>80.3</v>
      </c>
      <c r="F652">
        <v>1</v>
      </c>
    </row>
    <row r="653" spans="1:6" x14ac:dyDescent="0.25">
      <c r="A653">
        <v>0</v>
      </c>
      <c r="B653">
        <v>11.5</v>
      </c>
      <c r="C653">
        <v>16.2</v>
      </c>
      <c r="D653">
        <v>30.9</v>
      </c>
      <c r="E653">
        <v>100.8</v>
      </c>
      <c r="F653">
        <v>1</v>
      </c>
    </row>
    <row r="654" spans="1:6" x14ac:dyDescent="0.25">
      <c r="A654">
        <v>0</v>
      </c>
      <c r="B654">
        <v>15.9</v>
      </c>
      <c r="C654">
        <v>24.7</v>
      </c>
      <c r="D654">
        <v>29.8</v>
      </c>
      <c r="E654">
        <v>96.7</v>
      </c>
      <c r="F654">
        <v>0</v>
      </c>
    </row>
    <row r="655" spans="1:6" x14ac:dyDescent="0.25">
      <c r="A655">
        <v>0</v>
      </c>
      <c r="B655">
        <v>12.8</v>
      </c>
      <c r="C655">
        <v>24</v>
      </c>
      <c r="D655">
        <v>28.5</v>
      </c>
      <c r="E655">
        <v>75.3</v>
      </c>
      <c r="F655">
        <v>0</v>
      </c>
    </row>
    <row r="656" spans="1:6" x14ac:dyDescent="0.25">
      <c r="A656">
        <v>1</v>
      </c>
      <c r="B656">
        <v>10.5</v>
      </c>
      <c r="C656">
        <v>25.3</v>
      </c>
      <c r="D656">
        <v>27.9</v>
      </c>
      <c r="E656">
        <v>77.099999999999994</v>
      </c>
      <c r="F656">
        <v>1</v>
      </c>
    </row>
    <row r="657" spans="1:6" x14ac:dyDescent="0.25">
      <c r="A657">
        <v>1</v>
      </c>
      <c r="B657">
        <v>12.5</v>
      </c>
      <c r="C657">
        <v>25.6</v>
      </c>
      <c r="D657">
        <v>29.9</v>
      </c>
      <c r="E657">
        <v>79.099999999999994</v>
      </c>
      <c r="F657">
        <v>1</v>
      </c>
    </row>
    <row r="658" spans="1:6" x14ac:dyDescent="0.25">
      <c r="A658">
        <v>1</v>
      </c>
      <c r="B658">
        <v>16.2</v>
      </c>
      <c r="C658">
        <v>19.5</v>
      </c>
      <c r="D658">
        <v>31</v>
      </c>
      <c r="E658">
        <v>76.599999999999994</v>
      </c>
      <c r="F658">
        <v>0</v>
      </c>
    </row>
    <row r="659" spans="1:6" x14ac:dyDescent="0.25">
      <c r="A659">
        <v>0</v>
      </c>
      <c r="B659">
        <v>10.7</v>
      </c>
      <c r="C659">
        <v>22.6</v>
      </c>
      <c r="D659">
        <v>30.2</v>
      </c>
      <c r="E659">
        <v>101.5</v>
      </c>
      <c r="F659">
        <v>1</v>
      </c>
    </row>
    <row r="660" spans="1:6" x14ac:dyDescent="0.25">
      <c r="A660">
        <v>1</v>
      </c>
      <c r="B660">
        <v>14.8</v>
      </c>
      <c r="C660">
        <v>23</v>
      </c>
      <c r="D660">
        <v>30.5</v>
      </c>
      <c r="E660">
        <v>69.8</v>
      </c>
      <c r="F660">
        <v>0</v>
      </c>
    </row>
    <row r="661" spans="1:6" x14ac:dyDescent="0.25">
      <c r="A661">
        <v>0</v>
      </c>
      <c r="B661">
        <v>13.1</v>
      </c>
      <c r="C661">
        <v>20.2</v>
      </c>
      <c r="D661">
        <v>32.4</v>
      </c>
      <c r="E661">
        <v>95.4</v>
      </c>
      <c r="F661">
        <v>0</v>
      </c>
    </row>
    <row r="662" spans="1:6" x14ac:dyDescent="0.25">
      <c r="A662">
        <v>1</v>
      </c>
      <c r="B662">
        <v>16.7</v>
      </c>
      <c r="C662">
        <v>25.1</v>
      </c>
      <c r="D662">
        <v>30.1</v>
      </c>
      <c r="E662">
        <v>70.8</v>
      </c>
      <c r="F662">
        <v>0</v>
      </c>
    </row>
    <row r="663" spans="1:6" x14ac:dyDescent="0.25">
      <c r="A663">
        <v>0</v>
      </c>
      <c r="B663">
        <v>13.2</v>
      </c>
      <c r="C663">
        <v>27.8</v>
      </c>
      <c r="D663">
        <v>30.6</v>
      </c>
      <c r="E663">
        <v>81.400000000000006</v>
      </c>
      <c r="F663">
        <v>0</v>
      </c>
    </row>
    <row r="664" spans="1:6" x14ac:dyDescent="0.25">
      <c r="A664">
        <v>1</v>
      </c>
      <c r="B664">
        <v>10.5</v>
      </c>
      <c r="C664">
        <v>28.3</v>
      </c>
      <c r="D664">
        <v>28.7</v>
      </c>
      <c r="E664">
        <v>100.1</v>
      </c>
      <c r="F664">
        <v>1</v>
      </c>
    </row>
    <row r="665" spans="1:6" x14ac:dyDescent="0.25">
      <c r="A665">
        <v>1</v>
      </c>
      <c r="B665">
        <v>12.4</v>
      </c>
      <c r="C665">
        <v>24.5</v>
      </c>
      <c r="D665">
        <v>30.7</v>
      </c>
      <c r="E665">
        <v>93.1</v>
      </c>
      <c r="F665">
        <v>1</v>
      </c>
    </row>
    <row r="666" spans="1:6" x14ac:dyDescent="0.25">
      <c r="A666">
        <v>0</v>
      </c>
      <c r="B666">
        <v>10</v>
      </c>
      <c r="C666">
        <v>29.8</v>
      </c>
      <c r="D666">
        <v>32</v>
      </c>
      <c r="E666">
        <v>92.1</v>
      </c>
      <c r="F666">
        <v>1</v>
      </c>
    </row>
    <row r="667" spans="1:6" x14ac:dyDescent="0.25">
      <c r="A667">
        <v>0</v>
      </c>
      <c r="B667">
        <v>11.3</v>
      </c>
      <c r="C667">
        <v>23.5</v>
      </c>
      <c r="D667">
        <v>28.4</v>
      </c>
      <c r="E667">
        <v>75.8</v>
      </c>
      <c r="F667">
        <v>1</v>
      </c>
    </row>
    <row r="668" spans="1:6" x14ac:dyDescent="0.25">
      <c r="A668">
        <v>1</v>
      </c>
      <c r="B668">
        <v>15</v>
      </c>
      <c r="C668">
        <v>21.7</v>
      </c>
      <c r="D668">
        <v>30.6</v>
      </c>
      <c r="E668">
        <v>90</v>
      </c>
      <c r="F668">
        <v>0</v>
      </c>
    </row>
    <row r="669" spans="1:6" x14ac:dyDescent="0.25">
      <c r="A669">
        <v>1</v>
      </c>
      <c r="B669">
        <v>13.4</v>
      </c>
      <c r="C669">
        <v>17.7</v>
      </c>
      <c r="D669">
        <v>30.2</v>
      </c>
      <c r="E669">
        <v>79</v>
      </c>
      <c r="F669">
        <v>1</v>
      </c>
    </row>
    <row r="670" spans="1:6" x14ac:dyDescent="0.25">
      <c r="A670">
        <v>0</v>
      </c>
      <c r="B670">
        <v>14.8</v>
      </c>
      <c r="C670">
        <v>18.8</v>
      </c>
      <c r="D670">
        <v>31.9</v>
      </c>
      <c r="E670">
        <v>77.5</v>
      </c>
      <c r="F670">
        <v>0</v>
      </c>
    </row>
    <row r="671" spans="1:6" x14ac:dyDescent="0.25">
      <c r="A671">
        <v>0</v>
      </c>
      <c r="B671">
        <v>12.7</v>
      </c>
      <c r="C671">
        <v>23.3</v>
      </c>
      <c r="D671">
        <v>30.3</v>
      </c>
      <c r="E671">
        <v>92.8</v>
      </c>
      <c r="F671">
        <v>0</v>
      </c>
    </row>
    <row r="672" spans="1:6" x14ac:dyDescent="0.25">
      <c r="A672">
        <v>0</v>
      </c>
      <c r="B672">
        <v>14.6</v>
      </c>
      <c r="C672">
        <v>26.3</v>
      </c>
      <c r="D672">
        <v>32</v>
      </c>
      <c r="E672">
        <v>90.7</v>
      </c>
      <c r="F672">
        <v>0</v>
      </c>
    </row>
    <row r="673" spans="1:6" x14ac:dyDescent="0.25">
      <c r="A673">
        <v>1</v>
      </c>
      <c r="B673">
        <v>16.399999999999999</v>
      </c>
      <c r="C673">
        <v>27.9</v>
      </c>
      <c r="D673">
        <v>29.2</v>
      </c>
      <c r="E673">
        <v>87.9</v>
      </c>
      <c r="F673">
        <v>0</v>
      </c>
    </row>
    <row r="674" spans="1:6" x14ac:dyDescent="0.25">
      <c r="A674">
        <v>0</v>
      </c>
      <c r="B674">
        <v>16.8</v>
      </c>
      <c r="C674">
        <v>24.3</v>
      </c>
      <c r="D674">
        <v>31.5</v>
      </c>
      <c r="E674">
        <v>92</v>
      </c>
      <c r="F674">
        <v>0</v>
      </c>
    </row>
    <row r="675" spans="1:6" x14ac:dyDescent="0.25">
      <c r="A675">
        <v>0</v>
      </c>
      <c r="B675">
        <v>13.7</v>
      </c>
      <c r="C675">
        <v>26.9</v>
      </c>
      <c r="D675">
        <v>28.1</v>
      </c>
      <c r="E675">
        <v>82.5</v>
      </c>
      <c r="F675">
        <v>0</v>
      </c>
    </row>
    <row r="676" spans="1:6" x14ac:dyDescent="0.25">
      <c r="A676">
        <v>0</v>
      </c>
      <c r="B676">
        <v>11.2</v>
      </c>
      <c r="C676">
        <v>26</v>
      </c>
      <c r="D676">
        <v>29.8</v>
      </c>
      <c r="E676">
        <v>73</v>
      </c>
      <c r="F676">
        <v>1</v>
      </c>
    </row>
    <row r="677" spans="1:6" x14ac:dyDescent="0.25">
      <c r="A677">
        <v>1</v>
      </c>
      <c r="B677">
        <v>13.2</v>
      </c>
      <c r="C677">
        <v>27</v>
      </c>
      <c r="D677">
        <v>31</v>
      </c>
      <c r="E677">
        <v>87.7</v>
      </c>
      <c r="F677">
        <v>1</v>
      </c>
    </row>
    <row r="678" spans="1:6" x14ac:dyDescent="0.25">
      <c r="A678">
        <v>0</v>
      </c>
      <c r="B678">
        <v>10.3</v>
      </c>
      <c r="C678">
        <v>20.100000000000001</v>
      </c>
      <c r="D678">
        <v>28.2</v>
      </c>
      <c r="E678">
        <v>86.3</v>
      </c>
      <c r="F678">
        <v>1</v>
      </c>
    </row>
    <row r="679" spans="1:6" x14ac:dyDescent="0.25">
      <c r="A679">
        <v>1</v>
      </c>
      <c r="B679">
        <v>13.5</v>
      </c>
      <c r="C679">
        <v>27.7</v>
      </c>
      <c r="D679">
        <v>31</v>
      </c>
      <c r="E679">
        <v>77.3</v>
      </c>
      <c r="F679">
        <v>0</v>
      </c>
    </row>
    <row r="680" spans="1:6" x14ac:dyDescent="0.25">
      <c r="A680">
        <v>0</v>
      </c>
      <c r="B680">
        <v>10.6</v>
      </c>
      <c r="C680">
        <v>24.5</v>
      </c>
      <c r="D680">
        <v>28.3</v>
      </c>
      <c r="E680">
        <v>81.5</v>
      </c>
      <c r="F680">
        <v>1</v>
      </c>
    </row>
    <row r="681" spans="1:6" x14ac:dyDescent="0.25">
      <c r="A681">
        <v>1</v>
      </c>
      <c r="B681">
        <v>14.8</v>
      </c>
      <c r="C681">
        <v>16.3</v>
      </c>
      <c r="D681">
        <v>27.8</v>
      </c>
      <c r="E681">
        <v>76.400000000000006</v>
      </c>
      <c r="F681">
        <v>0</v>
      </c>
    </row>
    <row r="682" spans="1:6" x14ac:dyDescent="0.25">
      <c r="A682">
        <v>1</v>
      </c>
      <c r="B682">
        <v>15.7</v>
      </c>
      <c r="C682">
        <v>27.6</v>
      </c>
      <c r="D682">
        <v>30.3</v>
      </c>
      <c r="E682">
        <v>81.599999999999994</v>
      </c>
      <c r="F682">
        <v>0</v>
      </c>
    </row>
    <row r="683" spans="1:6" x14ac:dyDescent="0.25">
      <c r="A683">
        <v>1</v>
      </c>
      <c r="B683">
        <v>11.8</v>
      </c>
      <c r="C683">
        <v>24.3</v>
      </c>
      <c r="D683">
        <v>32</v>
      </c>
      <c r="E683">
        <v>80.599999999999994</v>
      </c>
      <c r="F683">
        <v>1</v>
      </c>
    </row>
    <row r="684" spans="1:6" x14ac:dyDescent="0.25">
      <c r="A684">
        <v>1</v>
      </c>
      <c r="B684">
        <v>15.7</v>
      </c>
      <c r="C684">
        <v>27.2</v>
      </c>
      <c r="D684">
        <v>31.3</v>
      </c>
      <c r="E684">
        <v>69.400000000000006</v>
      </c>
      <c r="F684">
        <v>0</v>
      </c>
    </row>
    <row r="685" spans="1:6" x14ac:dyDescent="0.25">
      <c r="A685">
        <v>1</v>
      </c>
      <c r="B685">
        <v>11.5</v>
      </c>
      <c r="C685">
        <v>17</v>
      </c>
      <c r="D685">
        <v>30.6</v>
      </c>
      <c r="E685">
        <v>71</v>
      </c>
      <c r="F685">
        <v>1</v>
      </c>
    </row>
    <row r="686" spans="1:6" x14ac:dyDescent="0.25">
      <c r="A686">
        <v>1</v>
      </c>
      <c r="B686">
        <v>13</v>
      </c>
      <c r="C686">
        <v>19</v>
      </c>
      <c r="D686">
        <v>31.3</v>
      </c>
      <c r="E686">
        <v>77.3</v>
      </c>
      <c r="F686">
        <v>1</v>
      </c>
    </row>
    <row r="687" spans="1:6" x14ac:dyDescent="0.25">
      <c r="A687">
        <v>0</v>
      </c>
      <c r="B687">
        <v>13.1</v>
      </c>
      <c r="C687">
        <v>17.600000000000001</v>
      </c>
      <c r="D687">
        <v>28.8</v>
      </c>
      <c r="E687">
        <v>85.2</v>
      </c>
      <c r="F687">
        <v>0</v>
      </c>
    </row>
    <row r="688" spans="1:6" x14ac:dyDescent="0.25">
      <c r="A688">
        <v>1</v>
      </c>
      <c r="B688">
        <v>14.6</v>
      </c>
      <c r="C688">
        <v>27.5</v>
      </c>
      <c r="D688">
        <v>31.4</v>
      </c>
      <c r="E688">
        <v>83.6</v>
      </c>
      <c r="F688">
        <v>0</v>
      </c>
    </row>
    <row r="689" spans="1:6" x14ac:dyDescent="0.25">
      <c r="A689">
        <v>0</v>
      </c>
      <c r="B689">
        <v>11.2</v>
      </c>
      <c r="C689">
        <v>22.3</v>
      </c>
      <c r="D689">
        <v>29</v>
      </c>
      <c r="E689">
        <v>100.6</v>
      </c>
      <c r="F689">
        <v>1</v>
      </c>
    </row>
    <row r="690" spans="1:6" x14ac:dyDescent="0.25">
      <c r="A690">
        <v>0</v>
      </c>
      <c r="B690">
        <v>14.6</v>
      </c>
      <c r="C690">
        <v>17.100000000000001</v>
      </c>
      <c r="D690">
        <v>31.8</v>
      </c>
      <c r="E690">
        <v>84.6</v>
      </c>
      <c r="F690">
        <v>0</v>
      </c>
    </row>
    <row r="691" spans="1:6" x14ac:dyDescent="0.25">
      <c r="A691">
        <v>0</v>
      </c>
      <c r="B691">
        <v>16.3</v>
      </c>
      <c r="C691">
        <v>16.399999999999999</v>
      </c>
      <c r="D691">
        <v>27.8</v>
      </c>
      <c r="E691">
        <v>88.7</v>
      </c>
      <c r="F691">
        <v>0</v>
      </c>
    </row>
    <row r="692" spans="1:6" x14ac:dyDescent="0.25">
      <c r="A692">
        <v>1</v>
      </c>
      <c r="B692">
        <v>13.4</v>
      </c>
      <c r="C692">
        <v>26.6</v>
      </c>
      <c r="D692">
        <v>28.3</v>
      </c>
      <c r="E692">
        <v>88.6</v>
      </c>
      <c r="F692">
        <v>1</v>
      </c>
    </row>
    <row r="693" spans="1:6" x14ac:dyDescent="0.25">
      <c r="A693">
        <v>0</v>
      </c>
      <c r="B693">
        <v>16</v>
      </c>
      <c r="C693">
        <v>24.9</v>
      </c>
      <c r="D693">
        <v>28.3</v>
      </c>
      <c r="E693">
        <v>100</v>
      </c>
      <c r="F693">
        <v>0</v>
      </c>
    </row>
    <row r="694" spans="1:6" x14ac:dyDescent="0.25">
      <c r="A694">
        <v>1</v>
      </c>
      <c r="B694">
        <v>11</v>
      </c>
      <c r="C694">
        <v>29.5</v>
      </c>
      <c r="D694">
        <v>30.7</v>
      </c>
      <c r="E694">
        <v>72.599999999999994</v>
      </c>
      <c r="F694">
        <v>1</v>
      </c>
    </row>
    <row r="695" spans="1:6" x14ac:dyDescent="0.25">
      <c r="A695">
        <v>1</v>
      </c>
      <c r="B695">
        <v>16.600000000000001</v>
      </c>
      <c r="C695">
        <v>22.7</v>
      </c>
      <c r="D695">
        <v>28.2</v>
      </c>
      <c r="E695">
        <v>87</v>
      </c>
      <c r="F695">
        <v>0</v>
      </c>
    </row>
    <row r="696" spans="1:6" x14ac:dyDescent="0.25">
      <c r="A696">
        <v>1</v>
      </c>
      <c r="B696">
        <v>11.4</v>
      </c>
      <c r="C696">
        <v>17.600000000000001</v>
      </c>
      <c r="D696">
        <v>30.2</v>
      </c>
      <c r="E696">
        <v>70</v>
      </c>
      <c r="F696">
        <v>1</v>
      </c>
    </row>
    <row r="697" spans="1:6" x14ac:dyDescent="0.25">
      <c r="A697">
        <v>1</v>
      </c>
      <c r="B697">
        <v>15.4</v>
      </c>
      <c r="C697">
        <v>23.4</v>
      </c>
      <c r="D697">
        <v>32.4</v>
      </c>
      <c r="E697">
        <v>92.9</v>
      </c>
      <c r="F697">
        <v>0</v>
      </c>
    </row>
    <row r="698" spans="1:6" x14ac:dyDescent="0.25">
      <c r="A698">
        <v>0</v>
      </c>
      <c r="B698">
        <v>11.1</v>
      </c>
      <c r="C698">
        <v>18.3</v>
      </c>
      <c r="D698">
        <v>28.5</v>
      </c>
      <c r="E698">
        <v>73.3</v>
      </c>
      <c r="F698">
        <v>1</v>
      </c>
    </row>
    <row r="699" spans="1:6" x14ac:dyDescent="0.25">
      <c r="A699">
        <v>0</v>
      </c>
      <c r="B699">
        <v>15.5</v>
      </c>
      <c r="C699">
        <v>17.399999999999999</v>
      </c>
      <c r="D699">
        <v>28.5</v>
      </c>
      <c r="E699">
        <v>78.900000000000006</v>
      </c>
      <c r="F699">
        <v>0</v>
      </c>
    </row>
    <row r="700" spans="1:6" x14ac:dyDescent="0.25">
      <c r="A700">
        <v>0</v>
      </c>
      <c r="B700">
        <v>10.4</v>
      </c>
      <c r="C700">
        <v>18.600000000000001</v>
      </c>
      <c r="D700">
        <v>29.1</v>
      </c>
      <c r="E700">
        <v>79.2</v>
      </c>
      <c r="F700">
        <v>1</v>
      </c>
    </row>
    <row r="701" spans="1:6" x14ac:dyDescent="0.25">
      <c r="A701">
        <v>0</v>
      </c>
      <c r="B701">
        <v>10.5</v>
      </c>
      <c r="C701">
        <v>18.8</v>
      </c>
      <c r="D701">
        <v>29.1</v>
      </c>
      <c r="E701">
        <v>80.599999999999994</v>
      </c>
      <c r="F701">
        <v>1</v>
      </c>
    </row>
    <row r="702" spans="1:6" x14ac:dyDescent="0.25">
      <c r="A702">
        <v>1</v>
      </c>
      <c r="B702">
        <v>16.7</v>
      </c>
      <c r="C702">
        <v>23.5</v>
      </c>
      <c r="D702">
        <v>28.1</v>
      </c>
      <c r="E702">
        <v>76.900000000000006</v>
      </c>
      <c r="F702">
        <v>0</v>
      </c>
    </row>
    <row r="703" spans="1:6" x14ac:dyDescent="0.25">
      <c r="A703">
        <v>0</v>
      </c>
      <c r="B703">
        <v>8.6</v>
      </c>
      <c r="C703">
        <v>29.3</v>
      </c>
      <c r="D703">
        <v>28.9</v>
      </c>
      <c r="E703">
        <v>88.3</v>
      </c>
      <c r="F703">
        <v>1</v>
      </c>
    </row>
    <row r="704" spans="1:6" x14ac:dyDescent="0.25">
      <c r="A704">
        <v>1</v>
      </c>
      <c r="B704">
        <v>16.3</v>
      </c>
      <c r="C704">
        <v>26.7</v>
      </c>
      <c r="D704">
        <v>29.9</v>
      </c>
      <c r="E704">
        <v>84.1</v>
      </c>
      <c r="F704">
        <v>0</v>
      </c>
    </row>
    <row r="705" spans="1:6" x14ac:dyDescent="0.25">
      <c r="A705">
        <v>0</v>
      </c>
      <c r="B705">
        <v>14.6</v>
      </c>
      <c r="C705">
        <v>28.9</v>
      </c>
      <c r="D705">
        <v>28.5</v>
      </c>
      <c r="E705">
        <v>74.2</v>
      </c>
      <c r="F705">
        <v>0</v>
      </c>
    </row>
    <row r="706" spans="1:6" x14ac:dyDescent="0.25">
      <c r="A706">
        <v>0</v>
      </c>
      <c r="B706">
        <v>13.4</v>
      </c>
      <c r="C706">
        <v>22</v>
      </c>
      <c r="D706">
        <v>30.8</v>
      </c>
      <c r="E706">
        <v>79.7</v>
      </c>
      <c r="F706">
        <v>0</v>
      </c>
    </row>
    <row r="707" spans="1:6" x14ac:dyDescent="0.25">
      <c r="A707">
        <v>1</v>
      </c>
      <c r="B707">
        <v>14.8</v>
      </c>
      <c r="C707">
        <v>28.8</v>
      </c>
      <c r="D707">
        <v>29.6</v>
      </c>
      <c r="E707">
        <v>84.9</v>
      </c>
      <c r="F707">
        <v>0</v>
      </c>
    </row>
    <row r="708" spans="1:6" x14ac:dyDescent="0.25">
      <c r="A708">
        <v>1</v>
      </c>
      <c r="B708">
        <v>16</v>
      </c>
      <c r="C708">
        <v>28.1</v>
      </c>
      <c r="D708">
        <v>31.6</v>
      </c>
      <c r="E708">
        <v>94.6</v>
      </c>
      <c r="F708">
        <v>0</v>
      </c>
    </row>
    <row r="709" spans="1:6" x14ac:dyDescent="0.25">
      <c r="A709">
        <v>1</v>
      </c>
      <c r="B709">
        <v>16.600000000000001</v>
      </c>
      <c r="C709">
        <v>29.1</v>
      </c>
      <c r="D709">
        <v>29.9</v>
      </c>
      <c r="E709">
        <v>76.400000000000006</v>
      </c>
      <c r="F709">
        <v>0</v>
      </c>
    </row>
    <row r="710" spans="1:6" x14ac:dyDescent="0.25">
      <c r="A710">
        <v>0</v>
      </c>
      <c r="B710">
        <v>7.5</v>
      </c>
      <c r="C710">
        <v>28.8</v>
      </c>
      <c r="D710">
        <v>30.8</v>
      </c>
      <c r="E710">
        <v>86.4</v>
      </c>
      <c r="F710">
        <v>1</v>
      </c>
    </row>
    <row r="711" spans="1:6" x14ac:dyDescent="0.25">
      <c r="A711">
        <v>1</v>
      </c>
      <c r="B711">
        <v>16.7</v>
      </c>
      <c r="C711">
        <v>20.100000000000001</v>
      </c>
      <c r="D711">
        <v>31.4</v>
      </c>
      <c r="E711">
        <v>73</v>
      </c>
      <c r="F711">
        <v>0</v>
      </c>
    </row>
    <row r="712" spans="1:6" x14ac:dyDescent="0.25">
      <c r="A712">
        <v>1</v>
      </c>
      <c r="B712">
        <v>12.4</v>
      </c>
      <c r="C712">
        <v>21.7</v>
      </c>
      <c r="D712">
        <v>31.9</v>
      </c>
      <c r="E712">
        <v>90.9</v>
      </c>
      <c r="F712">
        <v>1</v>
      </c>
    </row>
    <row r="713" spans="1:6" x14ac:dyDescent="0.25">
      <c r="A713">
        <v>1</v>
      </c>
      <c r="B713">
        <v>10.8</v>
      </c>
      <c r="C713">
        <v>26.7</v>
      </c>
      <c r="D713">
        <v>31.6</v>
      </c>
      <c r="E713">
        <v>98.3</v>
      </c>
      <c r="F713">
        <v>1</v>
      </c>
    </row>
    <row r="714" spans="1:6" x14ac:dyDescent="0.25">
      <c r="A714">
        <v>0</v>
      </c>
      <c r="B714">
        <v>11.9</v>
      </c>
      <c r="C714">
        <v>16.7</v>
      </c>
      <c r="D714">
        <v>31.9</v>
      </c>
      <c r="E714">
        <v>74.099999999999994</v>
      </c>
      <c r="F714">
        <v>1</v>
      </c>
    </row>
    <row r="715" spans="1:6" x14ac:dyDescent="0.25">
      <c r="A715">
        <v>1</v>
      </c>
      <c r="B715">
        <v>15.2</v>
      </c>
      <c r="C715">
        <v>19.8</v>
      </c>
      <c r="D715">
        <v>28.5</v>
      </c>
      <c r="E715">
        <v>83.7</v>
      </c>
      <c r="F715">
        <v>0</v>
      </c>
    </row>
    <row r="716" spans="1:6" x14ac:dyDescent="0.25">
      <c r="A716">
        <v>0</v>
      </c>
      <c r="B716">
        <v>15.3</v>
      </c>
      <c r="C716">
        <v>18.3</v>
      </c>
      <c r="D716">
        <v>30.4</v>
      </c>
      <c r="E716">
        <v>93.4</v>
      </c>
      <c r="F716">
        <v>0</v>
      </c>
    </row>
    <row r="717" spans="1:6" x14ac:dyDescent="0.25">
      <c r="A717">
        <v>1</v>
      </c>
      <c r="B717">
        <v>12.5</v>
      </c>
      <c r="C717">
        <v>22.2</v>
      </c>
      <c r="D717">
        <v>27.9</v>
      </c>
      <c r="E717">
        <v>89.4</v>
      </c>
      <c r="F717">
        <v>1</v>
      </c>
    </row>
    <row r="718" spans="1:6" x14ac:dyDescent="0.25">
      <c r="A718">
        <v>1</v>
      </c>
      <c r="B718">
        <v>15.2</v>
      </c>
      <c r="C718">
        <v>29</v>
      </c>
      <c r="D718">
        <v>28.2</v>
      </c>
      <c r="E718">
        <v>90.2</v>
      </c>
      <c r="F718">
        <v>0</v>
      </c>
    </row>
    <row r="719" spans="1:6" x14ac:dyDescent="0.25">
      <c r="A719">
        <v>0</v>
      </c>
      <c r="B719">
        <v>14.6</v>
      </c>
      <c r="C719">
        <v>16.899999999999999</v>
      </c>
      <c r="D719">
        <v>31.9</v>
      </c>
      <c r="E719">
        <v>78.099999999999994</v>
      </c>
      <c r="F719">
        <v>0</v>
      </c>
    </row>
    <row r="720" spans="1:6" x14ac:dyDescent="0.25">
      <c r="A720">
        <v>1</v>
      </c>
      <c r="B720">
        <v>13.6</v>
      </c>
      <c r="C720">
        <v>22.2</v>
      </c>
      <c r="D720">
        <v>29.6</v>
      </c>
      <c r="E720">
        <v>96.3</v>
      </c>
      <c r="F720">
        <v>0</v>
      </c>
    </row>
    <row r="721" spans="1:6" x14ac:dyDescent="0.25">
      <c r="A721">
        <v>1</v>
      </c>
      <c r="B721">
        <v>13.5</v>
      </c>
      <c r="C721">
        <v>19.8</v>
      </c>
      <c r="D721">
        <v>32.299999999999997</v>
      </c>
      <c r="E721">
        <v>89.4</v>
      </c>
      <c r="F721">
        <v>0</v>
      </c>
    </row>
    <row r="722" spans="1:6" x14ac:dyDescent="0.25">
      <c r="A722">
        <v>0</v>
      </c>
      <c r="B722">
        <v>13.1</v>
      </c>
      <c r="C722">
        <v>21.4</v>
      </c>
      <c r="D722">
        <v>29.4</v>
      </c>
      <c r="E722">
        <v>73.3</v>
      </c>
      <c r="F722">
        <v>0</v>
      </c>
    </row>
    <row r="723" spans="1:6" x14ac:dyDescent="0.25">
      <c r="A723">
        <v>0</v>
      </c>
      <c r="B723">
        <v>15.2</v>
      </c>
      <c r="C723">
        <v>21.5</v>
      </c>
      <c r="D723">
        <v>32.5</v>
      </c>
      <c r="E723">
        <v>84.5</v>
      </c>
      <c r="F723">
        <v>0</v>
      </c>
    </row>
    <row r="724" spans="1:6" x14ac:dyDescent="0.25">
      <c r="A724">
        <v>1</v>
      </c>
      <c r="B724">
        <v>10.6</v>
      </c>
      <c r="C724">
        <v>29.5</v>
      </c>
      <c r="D724">
        <v>30.4</v>
      </c>
      <c r="E724">
        <v>85</v>
      </c>
      <c r="F724">
        <v>1</v>
      </c>
    </row>
    <row r="725" spans="1:6" x14ac:dyDescent="0.25">
      <c r="A725">
        <v>0</v>
      </c>
      <c r="B725">
        <v>12.9</v>
      </c>
      <c r="C725">
        <v>21.8</v>
      </c>
      <c r="D725">
        <v>31.9</v>
      </c>
      <c r="E725">
        <v>94.4</v>
      </c>
      <c r="F725">
        <v>0</v>
      </c>
    </row>
    <row r="726" spans="1:6" x14ac:dyDescent="0.25">
      <c r="A726">
        <v>1</v>
      </c>
      <c r="B726">
        <v>12.9</v>
      </c>
      <c r="C726">
        <v>25.7</v>
      </c>
      <c r="D726">
        <v>29.7</v>
      </c>
      <c r="E726">
        <v>80.599999999999994</v>
      </c>
      <c r="F726">
        <v>1</v>
      </c>
    </row>
    <row r="727" spans="1:6" x14ac:dyDescent="0.25">
      <c r="A727">
        <v>0</v>
      </c>
      <c r="B727">
        <v>16.600000000000001</v>
      </c>
      <c r="C727">
        <v>26.3</v>
      </c>
      <c r="D727">
        <v>29.8</v>
      </c>
      <c r="E727">
        <v>85.1</v>
      </c>
      <c r="F727">
        <v>0</v>
      </c>
    </row>
    <row r="728" spans="1:6" x14ac:dyDescent="0.25">
      <c r="A728">
        <v>1</v>
      </c>
      <c r="B728">
        <v>12.5</v>
      </c>
      <c r="C728">
        <v>24.9</v>
      </c>
      <c r="D728">
        <v>30.5</v>
      </c>
      <c r="E728">
        <v>77.3</v>
      </c>
      <c r="F728">
        <v>1</v>
      </c>
    </row>
    <row r="729" spans="1:6" x14ac:dyDescent="0.25">
      <c r="A729">
        <v>0</v>
      </c>
      <c r="B729">
        <v>10.5</v>
      </c>
      <c r="C729">
        <v>28.5</v>
      </c>
      <c r="D729">
        <v>32.299999999999997</v>
      </c>
      <c r="E729">
        <v>70</v>
      </c>
      <c r="F729">
        <v>1</v>
      </c>
    </row>
    <row r="730" spans="1:6" x14ac:dyDescent="0.25">
      <c r="A730">
        <v>1</v>
      </c>
      <c r="B730">
        <v>14.3</v>
      </c>
      <c r="C730">
        <v>27.7</v>
      </c>
      <c r="D730">
        <v>28.9</v>
      </c>
      <c r="E730">
        <v>70.3</v>
      </c>
      <c r="F730">
        <v>0</v>
      </c>
    </row>
    <row r="731" spans="1:6" x14ac:dyDescent="0.25">
      <c r="A731">
        <v>1</v>
      </c>
      <c r="B731">
        <v>14</v>
      </c>
      <c r="C731">
        <v>20.100000000000001</v>
      </c>
      <c r="D731">
        <v>32.4</v>
      </c>
      <c r="E731">
        <v>71.099999999999994</v>
      </c>
      <c r="F731">
        <v>0</v>
      </c>
    </row>
    <row r="732" spans="1:6" x14ac:dyDescent="0.25">
      <c r="A732">
        <v>1</v>
      </c>
      <c r="B732">
        <v>10.7</v>
      </c>
      <c r="C732">
        <v>22.7</v>
      </c>
      <c r="D732">
        <v>30.5</v>
      </c>
      <c r="E732">
        <v>86.6</v>
      </c>
      <c r="F732">
        <v>1</v>
      </c>
    </row>
    <row r="733" spans="1:6" x14ac:dyDescent="0.25">
      <c r="A733">
        <v>0</v>
      </c>
      <c r="B733">
        <v>14</v>
      </c>
      <c r="C733">
        <v>27.4</v>
      </c>
      <c r="D733">
        <v>31.8</v>
      </c>
      <c r="E733">
        <v>87.2</v>
      </c>
      <c r="F733">
        <v>0</v>
      </c>
    </row>
    <row r="734" spans="1:6" x14ac:dyDescent="0.25">
      <c r="A734">
        <v>0</v>
      </c>
      <c r="B734">
        <v>16.8</v>
      </c>
      <c r="C734">
        <v>18.5</v>
      </c>
      <c r="D734">
        <v>28.6</v>
      </c>
      <c r="E734">
        <v>96</v>
      </c>
      <c r="F734">
        <v>0</v>
      </c>
    </row>
    <row r="735" spans="1:6" x14ac:dyDescent="0.25">
      <c r="A735">
        <v>1</v>
      </c>
      <c r="B735">
        <v>15.5</v>
      </c>
      <c r="C735">
        <v>21.3</v>
      </c>
      <c r="D735">
        <v>28</v>
      </c>
      <c r="E735">
        <v>75.900000000000006</v>
      </c>
      <c r="F735">
        <v>0</v>
      </c>
    </row>
    <row r="736" spans="1:6" x14ac:dyDescent="0.25">
      <c r="A736">
        <v>1</v>
      </c>
      <c r="B736">
        <v>12.9</v>
      </c>
      <c r="C736">
        <v>28.7</v>
      </c>
      <c r="D736">
        <v>31.1</v>
      </c>
      <c r="E736">
        <v>71.3</v>
      </c>
      <c r="F736">
        <v>1</v>
      </c>
    </row>
    <row r="737" spans="1:6" x14ac:dyDescent="0.25">
      <c r="A737">
        <v>0</v>
      </c>
      <c r="B737">
        <v>12.6</v>
      </c>
      <c r="C737">
        <v>25</v>
      </c>
      <c r="D737">
        <v>28</v>
      </c>
      <c r="E737">
        <v>88.3</v>
      </c>
      <c r="F737">
        <v>0</v>
      </c>
    </row>
    <row r="738" spans="1:6" x14ac:dyDescent="0.25">
      <c r="A738">
        <v>0</v>
      </c>
      <c r="B738">
        <v>15.5</v>
      </c>
      <c r="C738">
        <v>24.1</v>
      </c>
      <c r="D738">
        <v>32.200000000000003</v>
      </c>
      <c r="E738">
        <v>97.4</v>
      </c>
      <c r="F738">
        <v>0</v>
      </c>
    </row>
    <row r="739" spans="1:6" x14ac:dyDescent="0.25">
      <c r="A739">
        <v>1</v>
      </c>
      <c r="B739">
        <v>12.8</v>
      </c>
      <c r="C739">
        <v>18.399999999999999</v>
      </c>
      <c r="D739">
        <v>31</v>
      </c>
      <c r="E739">
        <v>101.6</v>
      </c>
      <c r="F739">
        <v>1</v>
      </c>
    </row>
    <row r="740" spans="1:6" x14ac:dyDescent="0.25">
      <c r="A740">
        <v>1</v>
      </c>
      <c r="B740">
        <v>13.2</v>
      </c>
      <c r="C740">
        <v>16.2</v>
      </c>
      <c r="D740">
        <v>30.6</v>
      </c>
      <c r="E740">
        <v>70.400000000000006</v>
      </c>
      <c r="F740">
        <v>1</v>
      </c>
    </row>
    <row r="741" spans="1:6" x14ac:dyDescent="0.25">
      <c r="A741">
        <v>1</v>
      </c>
      <c r="B741">
        <v>13.9</v>
      </c>
      <c r="C741">
        <v>22.5</v>
      </c>
      <c r="D741">
        <v>28.2</v>
      </c>
      <c r="E741">
        <v>98.5</v>
      </c>
      <c r="F741">
        <v>0</v>
      </c>
    </row>
    <row r="742" spans="1:6" x14ac:dyDescent="0.25">
      <c r="A742">
        <v>0</v>
      </c>
      <c r="B742">
        <v>11.7</v>
      </c>
      <c r="C742">
        <v>29.8</v>
      </c>
      <c r="D742">
        <v>31.8</v>
      </c>
      <c r="E742">
        <v>101.3</v>
      </c>
      <c r="F742">
        <v>1</v>
      </c>
    </row>
    <row r="743" spans="1:6" x14ac:dyDescent="0.25">
      <c r="A743">
        <v>1</v>
      </c>
      <c r="B743">
        <v>12</v>
      </c>
      <c r="C743">
        <v>29.1</v>
      </c>
      <c r="D743">
        <v>28.8</v>
      </c>
      <c r="E743">
        <v>82.7</v>
      </c>
      <c r="F743">
        <v>1</v>
      </c>
    </row>
    <row r="744" spans="1:6" x14ac:dyDescent="0.25">
      <c r="A744">
        <v>1</v>
      </c>
      <c r="B744">
        <v>12.5</v>
      </c>
      <c r="C744">
        <v>21.7</v>
      </c>
      <c r="D744">
        <v>29.7</v>
      </c>
      <c r="E744">
        <v>88.6</v>
      </c>
      <c r="F744">
        <v>1</v>
      </c>
    </row>
    <row r="745" spans="1:6" x14ac:dyDescent="0.25">
      <c r="A745">
        <v>0</v>
      </c>
      <c r="B745">
        <v>12.6</v>
      </c>
      <c r="C745">
        <v>23.2</v>
      </c>
      <c r="D745">
        <v>28.3</v>
      </c>
      <c r="E745">
        <v>92.9</v>
      </c>
      <c r="F745">
        <v>0</v>
      </c>
    </row>
    <row r="746" spans="1:6" x14ac:dyDescent="0.25">
      <c r="A746">
        <v>1</v>
      </c>
      <c r="B746">
        <v>11.4</v>
      </c>
      <c r="C746">
        <v>29</v>
      </c>
      <c r="D746">
        <v>32.1</v>
      </c>
      <c r="E746">
        <v>96.4</v>
      </c>
      <c r="F746">
        <v>1</v>
      </c>
    </row>
    <row r="747" spans="1:6" x14ac:dyDescent="0.25">
      <c r="A747">
        <v>0</v>
      </c>
      <c r="B747">
        <v>14.9</v>
      </c>
      <c r="C747">
        <v>24.4</v>
      </c>
      <c r="D747">
        <v>30.1</v>
      </c>
      <c r="E747">
        <v>94.7</v>
      </c>
      <c r="F747">
        <v>0</v>
      </c>
    </row>
    <row r="748" spans="1:6" x14ac:dyDescent="0.25">
      <c r="A748">
        <v>1</v>
      </c>
      <c r="B748">
        <v>14.9</v>
      </c>
      <c r="C748">
        <v>22.4</v>
      </c>
      <c r="D748">
        <v>29.9</v>
      </c>
      <c r="E748">
        <v>80.599999999999994</v>
      </c>
      <c r="F748">
        <v>0</v>
      </c>
    </row>
    <row r="749" spans="1:6" x14ac:dyDescent="0.25">
      <c r="A749">
        <v>0</v>
      </c>
      <c r="B749">
        <v>12.1</v>
      </c>
      <c r="C749">
        <v>29.1</v>
      </c>
      <c r="D749">
        <v>29.4</v>
      </c>
      <c r="E749">
        <v>85.3</v>
      </c>
      <c r="F749">
        <v>0</v>
      </c>
    </row>
    <row r="750" spans="1:6" x14ac:dyDescent="0.25">
      <c r="A750">
        <v>1</v>
      </c>
      <c r="B750">
        <v>11.1</v>
      </c>
      <c r="C750">
        <v>25</v>
      </c>
      <c r="D750">
        <v>31.7</v>
      </c>
      <c r="E750">
        <v>79.5</v>
      </c>
      <c r="F750">
        <v>1</v>
      </c>
    </row>
    <row r="751" spans="1:6" x14ac:dyDescent="0.25">
      <c r="A751">
        <v>1</v>
      </c>
      <c r="B751">
        <v>15.8</v>
      </c>
      <c r="C751">
        <v>24.1</v>
      </c>
      <c r="D751">
        <v>31.8</v>
      </c>
      <c r="E751">
        <v>98.5</v>
      </c>
      <c r="F751">
        <v>0</v>
      </c>
    </row>
    <row r="752" spans="1:6" x14ac:dyDescent="0.25">
      <c r="A752">
        <v>1</v>
      </c>
      <c r="B752">
        <v>14.1</v>
      </c>
      <c r="C752">
        <v>19.399999999999999</v>
      </c>
      <c r="D752">
        <v>32.1</v>
      </c>
      <c r="E752">
        <v>77.400000000000006</v>
      </c>
      <c r="F752">
        <v>0</v>
      </c>
    </row>
    <row r="753" spans="1:6" x14ac:dyDescent="0.25">
      <c r="A753">
        <v>1</v>
      </c>
      <c r="B753">
        <v>13.2</v>
      </c>
      <c r="C753">
        <v>27.4</v>
      </c>
      <c r="D753">
        <v>30.6</v>
      </c>
      <c r="E753">
        <v>101</v>
      </c>
      <c r="F753">
        <v>1</v>
      </c>
    </row>
    <row r="754" spans="1:6" x14ac:dyDescent="0.25">
      <c r="A754">
        <v>0</v>
      </c>
      <c r="B754">
        <v>16.399999999999999</v>
      </c>
      <c r="C754">
        <v>29.6</v>
      </c>
      <c r="D754">
        <v>30.6</v>
      </c>
      <c r="E754">
        <v>75.3</v>
      </c>
      <c r="F754">
        <v>0</v>
      </c>
    </row>
    <row r="755" spans="1:6" x14ac:dyDescent="0.25">
      <c r="A755">
        <v>1</v>
      </c>
      <c r="B755">
        <v>10.4</v>
      </c>
      <c r="C755">
        <v>29</v>
      </c>
      <c r="D755">
        <v>30</v>
      </c>
      <c r="E755">
        <v>92.3</v>
      </c>
      <c r="F755">
        <v>1</v>
      </c>
    </row>
    <row r="756" spans="1:6" x14ac:dyDescent="0.25">
      <c r="A756">
        <v>1</v>
      </c>
      <c r="B756">
        <v>16.3</v>
      </c>
      <c r="C756">
        <v>24.8</v>
      </c>
      <c r="D756">
        <v>30.6</v>
      </c>
      <c r="E756">
        <v>83.9</v>
      </c>
      <c r="F756">
        <v>0</v>
      </c>
    </row>
    <row r="757" spans="1:6" x14ac:dyDescent="0.25">
      <c r="A757">
        <v>1</v>
      </c>
      <c r="B757">
        <v>14.9</v>
      </c>
      <c r="C757">
        <v>28.2</v>
      </c>
      <c r="D757">
        <v>31.2</v>
      </c>
      <c r="E757">
        <v>90.8</v>
      </c>
      <c r="F757">
        <v>0</v>
      </c>
    </row>
    <row r="758" spans="1:6" x14ac:dyDescent="0.25">
      <c r="A758">
        <v>0</v>
      </c>
      <c r="B758">
        <v>15.3</v>
      </c>
      <c r="C758">
        <v>17.3</v>
      </c>
      <c r="D758">
        <v>32.200000000000003</v>
      </c>
      <c r="E758">
        <v>89.2</v>
      </c>
      <c r="F758">
        <v>0</v>
      </c>
    </row>
    <row r="759" spans="1:6" x14ac:dyDescent="0.25">
      <c r="A759">
        <v>0</v>
      </c>
      <c r="B759">
        <v>14.3</v>
      </c>
      <c r="C759">
        <v>21.3</v>
      </c>
      <c r="D759">
        <v>29.9</v>
      </c>
      <c r="E759">
        <v>101.4</v>
      </c>
      <c r="F759">
        <v>0</v>
      </c>
    </row>
    <row r="760" spans="1:6" x14ac:dyDescent="0.25">
      <c r="A760">
        <v>0</v>
      </c>
      <c r="B760">
        <v>12.4</v>
      </c>
      <c r="C760">
        <v>16.2</v>
      </c>
      <c r="D760">
        <v>31.8</v>
      </c>
      <c r="E760">
        <v>98.5</v>
      </c>
      <c r="F760">
        <v>0</v>
      </c>
    </row>
    <row r="761" spans="1:6" x14ac:dyDescent="0.25">
      <c r="A761">
        <v>1</v>
      </c>
      <c r="B761">
        <v>10.3</v>
      </c>
      <c r="C761">
        <v>22.5</v>
      </c>
      <c r="D761">
        <v>32.1</v>
      </c>
      <c r="E761">
        <v>75</v>
      </c>
      <c r="F761">
        <v>1</v>
      </c>
    </row>
    <row r="762" spans="1:6" x14ac:dyDescent="0.25">
      <c r="A762">
        <v>1</v>
      </c>
      <c r="B762">
        <v>16.600000000000001</v>
      </c>
      <c r="C762">
        <v>18.8</v>
      </c>
      <c r="D762">
        <v>28.1</v>
      </c>
      <c r="E762">
        <v>70.900000000000006</v>
      </c>
      <c r="F762">
        <v>0</v>
      </c>
    </row>
    <row r="763" spans="1:6" x14ac:dyDescent="0.25">
      <c r="A763">
        <v>1</v>
      </c>
      <c r="B763">
        <v>12.7</v>
      </c>
      <c r="C763">
        <v>27.8</v>
      </c>
      <c r="D763">
        <v>28.4</v>
      </c>
      <c r="E763">
        <v>72.3</v>
      </c>
      <c r="F763">
        <v>1</v>
      </c>
    </row>
    <row r="764" spans="1:6" x14ac:dyDescent="0.25">
      <c r="A764">
        <v>0</v>
      </c>
      <c r="B764">
        <v>14.8</v>
      </c>
      <c r="C764">
        <v>25.2</v>
      </c>
      <c r="D764">
        <v>30.7</v>
      </c>
      <c r="E764">
        <v>101</v>
      </c>
      <c r="F764">
        <v>0</v>
      </c>
    </row>
    <row r="765" spans="1:6" x14ac:dyDescent="0.25">
      <c r="A765">
        <v>0</v>
      </c>
      <c r="B765">
        <v>12.7</v>
      </c>
      <c r="C765">
        <v>24.3</v>
      </c>
      <c r="D765">
        <v>31.4</v>
      </c>
      <c r="E765">
        <v>75.5</v>
      </c>
      <c r="F765">
        <v>0</v>
      </c>
    </row>
    <row r="766" spans="1:6" x14ac:dyDescent="0.25">
      <c r="A766">
        <v>1</v>
      </c>
      <c r="B766">
        <v>12.6</v>
      </c>
      <c r="C766">
        <v>16.100000000000001</v>
      </c>
      <c r="D766">
        <v>31.1</v>
      </c>
      <c r="E766">
        <v>94.2</v>
      </c>
      <c r="F766">
        <v>1</v>
      </c>
    </row>
    <row r="767" spans="1:6" x14ac:dyDescent="0.25">
      <c r="A767">
        <v>0</v>
      </c>
      <c r="B767">
        <v>13.2</v>
      </c>
      <c r="C767">
        <v>22</v>
      </c>
      <c r="D767">
        <v>30.7</v>
      </c>
      <c r="E767">
        <v>89.7</v>
      </c>
      <c r="F767">
        <v>0</v>
      </c>
    </row>
    <row r="768" spans="1:6" x14ac:dyDescent="0.25">
      <c r="A768">
        <v>1</v>
      </c>
      <c r="B768">
        <v>13.4</v>
      </c>
      <c r="C768">
        <v>28.6</v>
      </c>
      <c r="D768">
        <v>32</v>
      </c>
      <c r="E768">
        <v>94</v>
      </c>
      <c r="F768">
        <v>1</v>
      </c>
    </row>
    <row r="769" spans="1:6" x14ac:dyDescent="0.25">
      <c r="A769">
        <v>1</v>
      </c>
      <c r="B769">
        <v>11.5</v>
      </c>
      <c r="C769">
        <v>25.7</v>
      </c>
      <c r="D769">
        <v>30.4</v>
      </c>
      <c r="E769">
        <v>70.2</v>
      </c>
      <c r="F769">
        <v>1</v>
      </c>
    </row>
    <row r="770" spans="1:6" x14ac:dyDescent="0.25">
      <c r="A770">
        <v>0</v>
      </c>
      <c r="B770">
        <v>15.9</v>
      </c>
      <c r="C770">
        <v>19.7</v>
      </c>
      <c r="D770">
        <v>30.9</v>
      </c>
      <c r="E770">
        <v>101.4</v>
      </c>
      <c r="F770">
        <v>0</v>
      </c>
    </row>
    <row r="771" spans="1:6" x14ac:dyDescent="0.25">
      <c r="A771">
        <v>0</v>
      </c>
      <c r="B771">
        <v>11.5</v>
      </c>
      <c r="C771">
        <v>22.7</v>
      </c>
      <c r="D771">
        <v>30.6</v>
      </c>
      <c r="E771">
        <v>87.3</v>
      </c>
      <c r="F771">
        <v>1</v>
      </c>
    </row>
    <row r="772" spans="1:6" x14ac:dyDescent="0.25">
      <c r="A772">
        <v>0</v>
      </c>
      <c r="B772">
        <v>10.7</v>
      </c>
      <c r="C772">
        <v>26.8</v>
      </c>
      <c r="D772">
        <v>32.200000000000003</v>
      </c>
      <c r="E772">
        <v>86.6</v>
      </c>
      <c r="F772">
        <v>1</v>
      </c>
    </row>
    <row r="773" spans="1:6" x14ac:dyDescent="0.25">
      <c r="A773">
        <v>0</v>
      </c>
      <c r="B773">
        <v>14.7</v>
      </c>
      <c r="C773">
        <v>24.8</v>
      </c>
      <c r="D773">
        <v>29.4</v>
      </c>
      <c r="E773">
        <v>82.4</v>
      </c>
      <c r="F773">
        <v>0</v>
      </c>
    </row>
    <row r="774" spans="1:6" x14ac:dyDescent="0.25">
      <c r="A774">
        <v>0</v>
      </c>
      <c r="B774">
        <v>16.7</v>
      </c>
      <c r="C774">
        <v>28.8</v>
      </c>
      <c r="D774">
        <v>28.1</v>
      </c>
      <c r="E774">
        <v>92</v>
      </c>
      <c r="F774">
        <v>0</v>
      </c>
    </row>
    <row r="775" spans="1:6" x14ac:dyDescent="0.25">
      <c r="A775">
        <v>0</v>
      </c>
      <c r="B775">
        <v>14.2</v>
      </c>
      <c r="C775">
        <v>26.3</v>
      </c>
      <c r="D775">
        <v>28.8</v>
      </c>
      <c r="E775">
        <v>97.9</v>
      </c>
      <c r="F775">
        <v>0</v>
      </c>
    </row>
    <row r="776" spans="1:6" x14ac:dyDescent="0.25">
      <c r="A776">
        <v>1</v>
      </c>
      <c r="B776">
        <v>11.1</v>
      </c>
      <c r="C776">
        <v>17.5</v>
      </c>
      <c r="D776">
        <v>31.3</v>
      </c>
      <c r="E776">
        <v>95.4</v>
      </c>
      <c r="F776">
        <v>1</v>
      </c>
    </row>
    <row r="777" spans="1:6" x14ac:dyDescent="0.25">
      <c r="A777">
        <v>0</v>
      </c>
      <c r="B777">
        <v>13.2</v>
      </c>
      <c r="C777">
        <v>23.8</v>
      </c>
      <c r="D777">
        <v>28</v>
      </c>
      <c r="E777">
        <v>89.9</v>
      </c>
      <c r="F777">
        <v>0</v>
      </c>
    </row>
    <row r="778" spans="1:6" x14ac:dyDescent="0.25">
      <c r="A778">
        <v>0</v>
      </c>
      <c r="B778">
        <v>11.3</v>
      </c>
      <c r="C778">
        <v>28.9</v>
      </c>
      <c r="D778">
        <v>30.5</v>
      </c>
      <c r="E778">
        <v>79.7</v>
      </c>
      <c r="F778">
        <v>1</v>
      </c>
    </row>
    <row r="779" spans="1:6" x14ac:dyDescent="0.25">
      <c r="A779">
        <v>0</v>
      </c>
      <c r="B779">
        <v>14.8</v>
      </c>
      <c r="C779">
        <v>19.600000000000001</v>
      </c>
      <c r="D779">
        <v>29</v>
      </c>
      <c r="E779">
        <v>87.4</v>
      </c>
      <c r="F779">
        <v>0</v>
      </c>
    </row>
    <row r="780" spans="1:6" x14ac:dyDescent="0.25">
      <c r="A780">
        <v>1</v>
      </c>
      <c r="B780">
        <v>16</v>
      </c>
      <c r="C780">
        <v>19.7</v>
      </c>
      <c r="D780">
        <v>30.2</v>
      </c>
      <c r="E780">
        <v>90.9</v>
      </c>
      <c r="F780">
        <v>0</v>
      </c>
    </row>
    <row r="781" spans="1:6" x14ac:dyDescent="0.25">
      <c r="A781">
        <v>0</v>
      </c>
      <c r="B781">
        <v>16.5</v>
      </c>
      <c r="C781">
        <v>20.2</v>
      </c>
      <c r="D781">
        <v>28</v>
      </c>
      <c r="E781">
        <v>82.5</v>
      </c>
      <c r="F781">
        <v>0</v>
      </c>
    </row>
    <row r="782" spans="1:6" x14ac:dyDescent="0.25">
      <c r="A782">
        <v>1</v>
      </c>
      <c r="B782">
        <v>13.4</v>
      </c>
      <c r="C782">
        <v>22.4</v>
      </c>
      <c r="D782">
        <v>28.3</v>
      </c>
      <c r="E782">
        <v>83.3</v>
      </c>
      <c r="F782">
        <v>1</v>
      </c>
    </row>
    <row r="783" spans="1:6" x14ac:dyDescent="0.25">
      <c r="A783">
        <v>0</v>
      </c>
      <c r="B783">
        <v>15.7</v>
      </c>
      <c r="C783">
        <v>19.100000000000001</v>
      </c>
      <c r="D783">
        <v>28.9</v>
      </c>
      <c r="E783">
        <v>99.5</v>
      </c>
      <c r="F783">
        <v>0</v>
      </c>
    </row>
    <row r="784" spans="1:6" x14ac:dyDescent="0.25">
      <c r="A784">
        <v>0</v>
      </c>
      <c r="B784">
        <v>14.7</v>
      </c>
      <c r="C784">
        <v>28.8</v>
      </c>
      <c r="D784">
        <v>31.7</v>
      </c>
      <c r="E784">
        <v>93.6</v>
      </c>
      <c r="F784">
        <v>0</v>
      </c>
    </row>
    <row r="785" spans="1:6" x14ac:dyDescent="0.25">
      <c r="A785">
        <v>1</v>
      </c>
      <c r="B785">
        <v>16</v>
      </c>
      <c r="C785">
        <v>20.100000000000001</v>
      </c>
      <c r="D785">
        <v>31.1</v>
      </c>
      <c r="E785">
        <v>95.5</v>
      </c>
      <c r="F785">
        <v>0</v>
      </c>
    </row>
    <row r="786" spans="1:6" x14ac:dyDescent="0.25">
      <c r="A786">
        <v>1</v>
      </c>
      <c r="B786">
        <v>10.3</v>
      </c>
      <c r="C786">
        <v>26.1</v>
      </c>
      <c r="D786">
        <v>32.200000000000003</v>
      </c>
      <c r="E786">
        <v>96.7</v>
      </c>
      <c r="F786">
        <v>1</v>
      </c>
    </row>
    <row r="787" spans="1:6" x14ac:dyDescent="0.25">
      <c r="A787">
        <v>0</v>
      </c>
      <c r="B787">
        <v>11.3</v>
      </c>
      <c r="C787">
        <v>18.2</v>
      </c>
      <c r="D787">
        <v>30.7</v>
      </c>
      <c r="E787">
        <v>98</v>
      </c>
      <c r="F787">
        <v>1</v>
      </c>
    </row>
    <row r="788" spans="1:6" x14ac:dyDescent="0.25">
      <c r="A788">
        <v>1</v>
      </c>
      <c r="B788">
        <v>13.7</v>
      </c>
      <c r="C788">
        <v>28.6</v>
      </c>
      <c r="D788">
        <v>32.200000000000003</v>
      </c>
      <c r="E788">
        <v>82.2</v>
      </c>
      <c r="F788">
        <v>0</v>
      </c>
    </row>
    <row r="789" spans="1:6" x14ac:dyDescent="0.25">
      <c r="A789">
        <v>0</v>
      </c>
      <c r="B789">
        <v>10.7</v>
      </c>
      <c r="C789">
        <v>18.100000000000001</v>
      </c>
      <c r="D789">
        <v>31.5</v>
      </c>
      <c r="E789">
        <v>97.1</v>
      </c>
      <c r="F789">
        <v>1</v>
      </c>
    </row>
    <row r="790" spans="1:6" x14ac:dyDescent="0.25">
      <c r="A790">
        <v>0</v>
      </c>
      <c r="B790">
        <v>11.3</v>
      </c>
      <c r="C790">
        <v>18.600000000000001</v>
      </c>
      <c r="D790">
        <v>29.5</v>
      </c>
      <c r="E790">
        <v>99.6</v>
      </c>
      <c r="F790">
        <v>1</v>
      </c>
    </row>
    <row r="791" spans="1:6" x14ac:dyDescent="0.25">
      <c r="A791">
        <v>0</v>
      </c>
      <c r="B791">
        <v>14.7</v>
      </c>
      <c r="C791">
        <v>18.3</v>
      </c>
      <c r="D791">
        <v>29.3</v>
      </c>
      <c r="E791">
        <v>75.8</v>
      </c>
      <c r="F791">
        <v>0</v>
      </c>
    </row>
    <row r="792" spans="1:6" x14ac:dyDescent="0.25">
      <c r="A792">
        <v>1</v>
      </c>
      <c r="B792">
        <v>11.2</v>
      </c>
      <c r="C792">
        <v>27.7</v>
      </c>
      <c r="D792">
        <v>32</v>
      </c>
      <c r="E792">
        <v>70.400000000000006</v>
      </c>
      <c r="F792">
        <v>1</v>
      </c>
    </row>
    <row r="793" spans="1:6" x14ac:dyDescent="0.25">
      <c r="A793">
        <v>1</v>
      </c>
      <c r="B793">
        <v>12.5</v>
      </c>
      <c r="C793">
        <v>25.5</v>
      </c>
      <c r="D793">
        <v>32</v>
      </c>
      <c r="E793">
        <v>72.099999999999994</v>
      </c>
      <c r="F793">
        <v>1</v>
      </c>
    </row>
    <row r="794" spans="1:6" x14ac:dyDescent="0.25">
      <c r="A794">
        <v>0</v>
      </c>
      <c r="B794">
        <v>15.4</v>
      </c>
      <c r="C794">
        <v>16.899999999999999</v>
      </c>
      <c r="D794">
        <v>28</v>
      </c>
      <c r="E794">
        <v>94.9</v>
      </c>
      <c r="F794">
        <v>0</v>
      </c>
    </row>
    <row r="795" spans="1:6" x14ac:dyDescent="0.25">
      <c r="A795">
        <v>0</v>
      </c>
      <c r="B795">
        <v>15</v>
      </c>
      <c r="C795">
        <v>27.5</v>
      </c>
      <c r="D795">
        <v>28.5</v>
      </c>
      <c r="E795">
        <v>80.3</v>
      </c>
      <c r="F795">
        <v>0</v>
      </c>
    </row>
    <row r="796" spans="1:6" x14ac:dyDescent="0.25">
      <c r="A796">
        <v>0</v>
      </c>
      <c r="B796">
        <v>15.6</v>
      </c>
      <c r="C796">
        <v>25.7</v>
      </c>
      <c r="D796">
        <v>31.9</v>
      </c>
      <c r="E796">
        <v>74.2</v>
      </c>
      <c r="F796">
        <v>0</v>
      </c>
    </row>
    <row r="797" spans="1:6" x14ac:dyDescent="0.25">
      <c r="A797">
        <v>1</v>
      </c>
      <c r="B797">
        <v>15.4</v>
      </c>
      <c r="C797">
        <v>24.5</v>
      </c>
      <c r="D797">
        <v>28.9</v>
      </c>
      <c r="E797">
        <v>73.599999999999994</v>
      </c>
      <c r="F797">
        <v>0</v>
      </c>
    </row>
    <row r="798" spans="1:6" x14ac:dyDescent="0.25">
      <c r="A798">
        <v>1</v>
      </c>
      <c r="B798">
        <v>13</v>
      </c>
      <c r="C798">
        <v>28.5</v>
      </c>
      <c r="D798">
        <v>30.8</v>
      </c>
      <c r="E798">
        <v>98.2</v>
      </c>
      <c r="F798">
        <v>1</v>
      </c>
    </row>
    <row r="799" spans="1:6" x14ac:dyDescent="0.25">
      <c r="A799">
        <v>0</v>
      </c>
      <c r="B799">
        <v>15.8</v>
      </c>
      <c r="C799">
        <v>25.7</v>
      </c>
      <c r="D799">
        <v>29.7</v>
      </c>
      <c r="E799">
        <v>85.6</v>
      </c>
      <c r="F799">
        <v>0</v>
      </c>
    </row>
    <row r="800" spans="1:6" x14ac:dyDescent="0.25">
      <c r="A800">
        <v>1</v>
      </c>
      <c r="B800">
        <v>12.2</v>
      </c>
      <c r="C800">
        <v>24.3</v>
      </c>
      <c r="D800">
        <v>31.4</v>
      </c>
      <c r="E800">
        <v>101.5</v>
      </c>
      <c r="F800">
        <v>1</v>
      </c>
    </row>
    <row r="801" spans="1:6" x14ac:dyDescent="0.25">
      <c r="A801">
        <v>0</v>
      </c>
      <c r="B801">
        <v>10.9</v>
      </c>
      <c r="C801">
        <v>26.4</v>
      </c>
      <c r="D801">
        <v>30.4</v>
      </c>
      <c r="E801">
        <v>89.7</v>
      </c>
      <c r="F801">
        <v>1</v>
      </c>
    </row>
    <row r="802" spans="1:6" x14ac:dyDescent="0.25">
      <c r="A802">
        <v>0</v>
      </c>
      <c r="B802">
        <v>12.9</v>
      </c>
      <c r="C802">
        <v>17.3</v>
      </c>
      <c r="D802">
        <v>28.3</v>
      </c>
      <c r="E802">
        <v>81.7</v>
      </c>
      <c r="F802">
        <v>0</v>
      </c>
    </row>
    <row r="803" spans="1:6" x14ac:dyDescent="0.25">
      <c r="A803">
        <v>0</v>
      </c>
      <c r="B803">
        <v>12.4</v>
      </c>
      <c r="C803">
        <v>25.6</v>
      </c>
      <c r="D803">
        <v>29.6</v>
      </c>
      <c r="E803">
        <v>89.9</v>
      </c>
      <c r="F803">
        <v>0</v>
      </c>
    </row>
    <row r="804" spans="1:6" x14ac:dyDescent="0.25">
      <c r="A804">
        <v>0</v>
      </c>
      <c r="B804">
        <v>10.6</v>
      </c>
      <c r="C804">
        <v>16</v>
      </c>
      <c r="D804">
        <v>32.200000000000003</v>
      </c>
      <c r="E804">
        <v>96.8</v>
      </c>
      <c r="F804">
        <v>1</v>
      </c>
    </row>
    <row r="805" spans="1:6" x14ac:dyDescent="0.25">
      <c r="A805">
        <v>0</v>
      </c>
      <c r="B805">
        <v>14.9</v>
      </c>
      <c r="C805">
        <v>17.600000000000001</v>
      </c>
      <c r="D805">
        <v>31.1</v>
      </c>
      <c r="E805">
        <v>86.5</v>
      </c>
      <c r="F805">
        <v>0</v>
      </c>
    </row>
    <row r="806" spans="1:6" x14ac:dyDescent="0.25">
      <c r="A806">
        <v>0</v>
      </c>
      <c r="B806">
        <v>14</v>
      </c>
      <c r="C806">
        <v>20.3</v>
      </c>
      <c r="D806">
        <v>32.1</v>
      </c>
      <c r="E806">
        <v>74</v>
      </c>
      <c r="F806">
        <v>0</v>
      </c>
    </row>
    <row r="807" spans="1:6" x14ac:dyDescent="0.25">
      <c r="A807">
        <v>0</v>
      </c>
      <c r="B807">
        <v>12.1</v>
      </c>
      <c r="C807">
        <v>26.3</v>
      </c>
      <c r="D807">
        <v>29.8</v>
      </c>
      <c r="E807">
        <v>84.9</v>
      </c>
      <c r="F807">
        <v>0</v>
      </c>
    </row>
    <row r="808" spans="1:6" x14ac:dyDescent="0.25">
      <c r="A808">
        <v>0</v>
      </c>
      <c r="B808">
        <v>13.5</v>
      </c>
      <c r="C808">
        <v>22.3</v>
      </c>
      <c r="D808">
        <v>29.9</v>
      </c>
      <c r="E808">
        <v>86.3</v>
      </c>
      <c r="F808">
        <v>0</v>
      </c>
    </row>
    <row r="809" spans="1:6" x14ac:dyDescent="0.25">
      <c r="A809">
        <v>1</v>
      </c>
      <c r="B809">
        <v>15.1</v>
      </c>
      <c r="C809">
        <v>17.100000000000001</v>
      </c>
      <c r="D809">
        <v>28.2</v>
      </c>
      <c r="E809">
        <v>86.8</v>
      </c>
      <c r="F809">
        <v>0</v>
      </c>
    </row>
    <row r="810" spans="1:6" x14ac:dyDescent="0.25">
      <c r="A810">
        <v>0</v>
      </c>
      <c r="B810">
        <v>11.9</v>
      </c>
      <c r="C810">
        <v>23.7</v>
      </c>
      <c r="D810">
        <v>29.9</v>
      </c>
      <c r="E810">
        <v>69.900000000000006</v>
      </c>
      <c r="F810">
        <v>1</v>
      </c>
    </row>
    <row r="811" spans="1:6" x14ac:dyDescent="0.25">
      <c r="A811">
        <v>0</v>
      </c>
      <c r="B811">
        <v>14.7</v>
      </c>
      <c r="C811">
        <v>23.4</v>
      </c>
      <c r="D811">
        <v>29</v>
      </c>
      <c r="E811">
        <v>99.6</v>
      </c>
      <c r="F811">
        <v>0</v>
      </c>
    </row>
    <row r="812" spans="1:6" x14ac:dyDescent="0.25">
      <c r="A812">
        <v>0</v>
      </c>
      <c r="B812">
        <v>13.1</v>
      </c>
      <c r="C812">
        <v>21.8</v>
      </c>
      <c r="D812">
        <v>30.8</v>
      </c>
      <c r="E812">
        <v>90.4</v>
      </c>
      <c r="F812">
        <v>0</v>
      </c>
    </row>
    <row r="813" spans="1:6" x14ac:dyDescent="0.25">
      <c r="A813">
        <v>0</v>
      </c>
      <c r="B813">
        <v>11.1</v>
      </c>
      <c r="C813">
        <v>20.399999999999999</v>
      </c>
      <c r="D813">
        <v>30.9</v>
      </c>
      <c r="E813">
        <v>101.6</v>
      </c>
      <c r="F813">
        <v>1</v>
      </c>
    </row>
    <row r="814" spans="1:6" x14ac:dyDescent="0.25">
      <c r="A814">
        <v>0</v>
      </c>
      <c r="B814">
        <v>13.5</v>
      </c>
      <c r="C814">
        <v>19.5</v>
      </c>
      <c r="D814">
        <v>32.299999999999997</v>
      </c>
      <c r="E814">
        <v>80.400000000000006</v>
      </c>
      <c r="F814">
        <v>0</v>
      </c>
    </row>
    <row r="815" spans="1:6" x14ac:dyDescent="0.25">
      <c r="A815">
        <v>1</v>
      </c>
      <c r="B815">
        <v>12</v>
      </c>
      <c r="C815">
        <v>28.1</v>
      </c>
      <c r="D815">
        <v>30.9</v>
      </c>
      <c r="E815">
        <v>77.900000000000006</v>
      </c>
      <c r="F815">
        <v>1</v>
      </c>
    </row>
    <row r="816" spans="1:6" x14ac:dyDescent="0.25">
      <c r="A816">
        <v>0</v>
      </c>
      <c r="B816">
        <v>16.5</v>
      </c>
      <c r="C816">
        <v>28</v>
      </c>
      <c r="D816">
        <v>32.200000000000003</v>
      </c>
      <c r="E816">
        <v>99.3</v>
      </c>
      <c r="F816">
        <v>0</v>
      </c>
    </row>
    <row r="817" spans="1:6" x14ac:dyDescent="0.25">
      <c r="A817">
        <v>0</v>
      </c>
      <c r="B817">
        <v>15.2</v>
      </c>
      <c r="C817">
        <v>21.9</v>
      </c>
      <c r="D817">
        <v>29.6</v>
      </c>
      <c r="E817">
        <v>69.5</v>
      </c>
      <c r="F817">
        <v>0</v>
      </c>
    </row>
    <row r="818" spans="1:6" x14ac:dyDescent="0.25">
      <c r="A818">
        <v>1</v>
      </c>
      <c r="B818">
        <v>13.4</v>
      </c>
      <c r="C818">
        <v>17.7</v>
      </c>
      <c r="D818">
        <v>31.6</v>
      </c>
      <c r="E818">
        <v>97.2</v>
      </c>
      <c r="F818">
        <v>1</v>
      </c>
    </row>
    <row r="819" spans="1:6" x14ac:dyDescent="0.25">
      <c r="A819">
        <v>1</v>
      </c>
      <c r="B819">
        <v>15.9</v>
      </c>
      <c r="C819">
        <v>22.4</v>
      </c>
      <c r="D819">
        <v>28.9</v>
      </c>
      <c r="E819">
        <v>93</v>
      </c>
      <c r="F819">
        <v>0</v>
      </c>
    </row>
    <row r="820" spans="1:6" x14ac:dyDescent="0.25">
      <c r="A820">
        <v>1</v>
      </c>
      <c r="B820">
        <v>12.1</v>
      </c>
      <c r="C820">
        <v>25.9</v>
      </c>
      <c r="D820">
        <v>29.3</v>
      </c>
      <c r="E820">
        <v>82.6</v>
      </c>
      <c r="F820">
        <v>1</v>
      </c>
    </row>
    <row r="821" spans="1:6" x14ac:dyDescent="0.25">
      <c r="A821">
        <v>0</v>
      </c>
      <c r="B821">
        <v>14.5</v>
      </c>
      <c r="C821">
        <v>24.2</v>
      </c>
      <c r="D821">
        <v>27.9</v>
      </c>
      <c r="E821">
        <v>71.7</v>
      </c>
      <c r="F821">
        <v>0</v>
      </c>
    </row>
    <row r="822" spans="1:6" x14ac:dyDescent="0.25">
      <c r="A822">
        <v>0</v>
      </c>
      <c r="B822">
        <v>13.4</v>
      </c>
      <c r="C822">
        <v>25.3</v>
      </c>
      <c r="D822">
        <v>28.6</v>
      </c>
      <c r="E822">
        <v>83.8</v>
      </c>
      <c r="F822">
        <v>0</v>
      </c>
    </row>
    <row r="823" spans="1:6" x14ac:dyDescent="0.25">
      <c r="A823">
        <v>1</v>
      </c>
      <c r="B823">
        <v>16.399999999999999</v>
      </c>
      <c r="C823">
        <v>27.4</v>
      </c>
      <c r="D823">
        <v>31.9</v>
      </c>
      <c r="E823">
        <v>100.2</v>
      </c>
      <c r="F823">
        <v>0</v>
      </c>
    </row>
    <row r="824" spans="1:6" x14ac:dyDescent="0.25">
      <c r="A824">
        <v>1</v>
      </c>
      <c r="B824">
        <v>14.6</v>
      </c>
      <c r="C824">
        <v>24.1</v>
      </c>
      <c r="D824">
        <v>30.7</v>
      </c>
      <c r="E824">
        <v>98.1</v>
      </c>
      <c r="F824">
        <v>0</v>
      </c>
    </row>
    <row r="825" spans="1:6" x14ac:dyDescent="0.25">
      <c r="A825">
        <v>1</v>
      </c>
      <c r="B825">
        <v>13.8</v>
      </c>
      <c r="C825">
        <v>21.4</v>
      </c>
      <c r="D825">
        <v>29.9</v>
      </c>
      <c r="E825">
        <v>88.4</v>
      </c>
      <c r="F825">
        <v>0</v>
      </c>
    </row>
    <row r="826" spans="1:6" x14ac:dyDescent="0.25">
      <c r="A826">
        <v>1</v>
      </c>
      <c r="B826">
        <v>12.6</v>
      </c>
      <c r="C826">
        <v>16.5</v>
      </c>
      <c r="D826">
        <v>30.4</v>
      </c>
      <c r="E826">
        <v>77</v>
      </c>
      <c r="F826">
        <v>1</v>
      </c>
    </row>
    <row r="827" spans="1:6" x14ac:dyDescent="0.25">
      <c r="A827">
        <v>0</v>
      </c>
      <c r="B827">
        <v>11.5</v>
      </c>
      <c r="C827">
        <v>22</v>
      </c>
      <c r="D827">
        <v>32.4</v>
      </c>
      <c r="E827">
        <v>84.2</v>
      </c>
      <c r="F827">
        <v>1</v>
      </c>
    </row>
    <row r="828" spans="1:6" x14ac:dyDescent="0.25">
      <c r="A828">
        <v>1</v>
      </c>
      <c r="B828">
        <v>12.5</v>
      </c>
      <c r="C828">
        <v>20.100000000000001</v>
      </c>
      <c r="D828">
        <v>27.8</v>
      </c>
      <c r="E828">
        <v>89.2</v>
      </c>
      <c r="F828">
        <v>1</v>
      </c>
    </row>
    <row r="829" spans="1:6" x14ac:dyDescent="0.25">
      <c r="A829">
        <v>1</v>
      </c>
      <c r="B829">
        <v>16.600000000000001</v>
      </c>
      <c r="C829">
        <v>22</v>
      </c>
      <c r="D829">
        <v>29.5</v>
      </c>
      <c r="E829">
        <v>71</v>
      </c>
      <c r="F829">
        <v>0</v>
      </c>
    </row>
    <row r="830" spans="1:6" x14ac:dyDescent="0.25">
      <c r="A830">
        <v>1</v>
      </c>
      <c r="B830">
        <v>12.7</v>
      </c>
      <c r="C830">
        <v>21.1</v>
      </c>
      <c r="D830">
        <v>32.200000000000003</v>
      </c>
      <c r="E830">
        <v>94.2</v>
      </c>
      <c r="F830">
        <v>1</v>
      </c>
    </row>
    <row r="831" spans="1:6" x14ac:dyDescent="0.25">
      <c r="A831">
        <v>0</v>
      </c>
      <c r="B831">
        <v>16.8</v>
      </c>
      <c r="C831">
        <v>27.4</v>
      </c>
      <c r="D831">
        <v>32.4</v>
      </c>
      <c r="E831">
        <v>97.7</v>
      </c>
      <c r="F831">
        <v>0</v>
      </c>
    </row>
    <row r="832" spans="1:6" x14ac:dyDescent="0.25">
      <c r="A832">
        <v>1</v>
      </c>
      <c r="B832">
        <v>14.3</v>
      </c>
      <c r="C832">
        <v>21.4</v>
      </c>
      <c r="D832">
        <v>31.2</v>
      </c>
      <c r="E832">
        <v>88.5</v>
      </c>
      <c r="F832">
        <v>0</v>
      </c>
    </row>
    <row r="833" spans="1:6" x14ac:dyDescent="0.25">
      <c r="A833">
        <v>0</v>
      </c>
      <c r="B833">
        <v>10.8</v>
      </c>
      <c r="C833">
        <v>19</v>
      </c>
      <c r="D833">
        <v>32.200000000000003</v>
      </c>
      <c r="E833">
        <v>101.6</v>
      </c>
      <c r="F833">
        <v>1</v>
      </c>
    </row>
    <row r="834" spans="1:6" x14ac:dyDescent="0.25">
      <c r="A834">
        <v>0</v>
      </c>
      <c r="B834">
        <v>12.6</v>
      </c>
      <c r="C834">
        <v>16.5</v>
      </c>
      <c r="D834">
        <v>28.9</v>
      </c>
      <c r="E834">
        <v>97.5</v>
      </c>
      <c r="F834">
        <v>0</v>
      </c>
    </row>
    <row r="835" spans="1:6" x14ac:dyDescent="0.25">
      <c r="A835">
        <v>0</v>
      </c>
      <c r="B835">
        <v>16.8</v>
      </c>
      <c r="C835">
        <v>27.3</v>
      </c>
      <c r="D835">
        <v>28.9</v>
      </c>
      <c r="E835">
        <v>70.8</v>
      </c>
      <c r="F835">
        <v>0</v>
      </c>
    </row>
    <row r="836" spans="1:6" x14ac:dyDescent="0.25">
      <c r="A836">
        <v>1</v>
      </c>
      <c r="B836">
        <v>10.7</v>
      </c>
      <c r="C836">
        <v>24.7</v>
      </c>
      <c r="D836">
        <v>29.1</v>
      </c>
      <c r="E836">
        <v>78.7</v>
      </c>
      <c r="F836">
        <v>1</v>
      </c>
    </row>
    <row r="837" spans="1:6" x14ac:dyDescent="0.25">
      <c r="A837">
        <v>1</v>
      </c>
      <c r="B837">
        <v>15.9</v>
      </c>
      <c r="C837">
        <v>18.2</v>
      </c>
      <c r="D837">
        <v>30.3</v>
      </c>
      <c r="E837">
        <v>82.7</v>
      </c>
      <c r="F837">
        <v>0</v>
      </c>
    </row>
    <row r="838" spans="1:6" x14ac:dyDescent="0.25">
      <c r="A838">
        <v>0</v>
      </c>
      <c r="B838">
        <v>10.7</v>
      </c>
      <c r="C838">
        <v>19.399999999999999</v>
      </c>
      <c r="D838">
        <v>29.2</v>
      </c>
      <c r="E838">
        <v>93.7</v>
      </c>
      <c r="F838">
        <v>1</v>
      </c>
    </row>
    <row r="839" spans="1:6" x14ac:dyDescent="0.25">
      <c r="A839">
        <v>0</v>
      </c>
      <c r="B839">
        <v>11.4</v>
      </c>
      <c r="C839">
        <v>16.2</v>
      </c>
      <c r="D839">
        <v>29.8</v>
      </c>
      <c r="E839">
        <v>97</v>
      </c>
      <c r="F839">
        <v>1</v>
      </c>
    </row>
    <row r="840" spans="1:6" x14ac:dyDescent="0.25">
      <c r="A840">
        <v>1</v>
      </c>
      <c r="B840">
        <v>16.100000000000001</v>
      </c>
      <c r="C840">
        <v>26.1</v>
      </c>
      <c r="D840">
        <v>31.4</v>
      </c>
      <c r="E840">
        <v>93.7</v>
      </c>
      <c r="F840">
        <v>0</v>
      </c>
    </row>
    <row r="841" spans="1:6" x14ac:dyDescent="0.25">
      <c r="A841">
        <v>0</v>
      </c>
      <c r="B841">
        <v>14.5</v>
      </c>
      <c r="C841">
        <v>27.4</v>
      </c>
      <c r="D841">
        <v>28.4</v>
      </c>
      <c r="E841">
        <v>78.400000000000006</v>
      </c>
      <c r="F841">
        <v>0</v>
      </c>
    </row>
    <row r="842" spans="1:6" x14ac:dyDescent="0.25">
      <c r="A842">
        <v>1</v>
      </c>
      <c r="B842">
        <v>16.2</v>
      </c>
      <c r="C842">
        <v>17.899999999999999</v>
      </c>
      <c r="D842">
        <v>27.8</v>
      </c>
      <c r="E842">
        <v>74.3</v>
      </c>
      <c r="F842">
        <v>0</v>
      </c>
    </row>
    <row r="843" spans="1:6" x14ac:dyDescent="0.25">
      <c r="A843">
        <v>0</v>
      </c>
      <c r="B843">
        <v>16.2</v>
      </c>
      <c r="C843">
        <v>25.1</v>
      </c>
      <c r="D843">
        <v>29.9</v>
      </c>
      <c r="E843">
        <v>81.599999999999994</v>
      </c>
      <c r="F843">
        <v>0</v>
      </c>
    </row>
    <row r="844" spans="1:6" x14ac:dyDescent="0.25">
      <c r="A844">
        <v>1</v>
      </c>
      <c r="B844">
        <v>12.2</v>
      </c>
      <c r="C844">
        <v>23.4</v>
      </c>
      <c r="D844">
        <v>32</v>
      </c>
      <c r="E844">
        <v>86</v>
      </c>
      <c r="F844">
        <v>1</v>
      </c>
    </row>
    <row r="845" spans="1:6" x14ac:dyDescent="0.25">
      <c r="A845">
        <v>1</v>
      </c>
      <c r="B845">
        <v>15</v>
      </c>
      <c r="C845">
        <v>20.8</v>
      </c>
      <c r="D845">
        <v>32.299999999999997</v>
      </c>
      <c r="E845">
        <v>88.7</v>
      </c>
      <c r="F845">
        <v>0</v>
      </c>
    </row>
    <row r="846" spans="1:6" x14ac:dyDescent="0.25">
      <c r="A846">
        <v>1</v>
      </c>
      <c r="B846">
        <v>11.6</v>
      </c>
      <c r="C846">
        <v>18</v>
      </c>
      <c r="D846">
        <v>32.200000000000003</v>
      </c>
      <c r="E846">
        <v>98.9</v>
      </c>
      <c r="F846">
        <v>1</v>
      </c>
    </row>
    <row r="847" spans="1:6" x14ac:dyDescent="0.25">
      <c r="A847">
        <v>1</v>
      </c>
      <c r="B847">
        <v>11.2</v>
      </c>
      <c r="C847">
        <v>27.8</v>
      </c>
      <c r="D847">
        <v>32.200000000000003</v>
      </c>
      <c r="E847">
        <v>95.8</v>
      </c>
      <c r="F847">
        <v>1</v>
      </c>
    </row>
    <row r="848" spans="1:6" x14ac:dyDescent="0.25">
      <c r="A848">
        <v>0</v>
      </c>
      <c r="B848">
        <v>11.7</v>
      </c>
      <c r="C848">
        <v>16.8</v>
      </c>
      <c r="D848">
        <v>32.200000000000003</v>
      </c>
      <c r="E848">
        <v>73.599999999999994</v>
      </c>
      <c r="F848">
        <v>1</v>
      </c>
    </row>
    <row r="849" spans="1:6" x14ac:dyDescent="0.25">
      <c r="A849">
        <v>0</v>
      </c>
      <c r="B849">
        <v>16.399999999999999</v>
      </c>
      <c r="C849">
        <v>27.2</v>
      </c>
      <c r="D849">
        <v>31.4</v>
      </c>
      <c r="E849">
        <v>70.599999999999994</v>
      </c>
      <c r="F849">
        <v>0</v>
      </c>
    </row>
    <row r="850" spans="1:6" x14ac:dyDescent="0.25">
      <c r="A850">
        <v>0</v>
      </c>
      <c r="B850">
        <v>15.5</v>
      </c>
      <c r="C850">
        <v>19.3</v>
      </c>
      <c r="D850">
        <v>32.5</v>
      </c>
      <c r="E850">
        <v>97.5</v>
      </c>
      <c r="F850">
        <v>0</v>
      </c>
    </row>
    <row r="851" spans="1:6" x14ac:dyDescent="0.25">
      <c r="A851">
        <v>0</v>
      </c>
      <c r="B851">
        <v>13.3</v>
      </c>
      <c r="C851">
        <v>19.100000000000001</v>
      </c>
      <c r="D851">
        <v>30.9</v>
      </c>
      <c r="E851">
        <v>97.9</v>
      </c>
      <c r="F851">
        <v>0</v>
      </c>
    </row>
    <row r="852" spans="1:6" x14ac:dyDescent="0.25">
      <c r="A852">
        <v>1</v>
      </c>
      <c r="B852">
        <v>16.100000000000001</v>
      </c>
      <c r="C852">
        <v>21.9</v>
      </c>
      <c r="D852">
        <v>32.5</v>
      </c>
      <c r="E852">
        <v>100.7</v>
      </c>
      <c r="F852">
        <v>0</v>
      </c>
    </row>
    <row r="853" spans="1:6" x14ac:dyDescent="0.25">
      <c r="A853">
        <v>0</v>
      </c>
      <c r="B853">
        <v>11.1</v>
      </c>
      <c r="C853">
        <v>24.7</v>
      </c>
      <c r="D853">
        <v>32.1</v>
      </c>
      <c r="E853">
        <v>96.7</v>
      </c>
      <c r="F853">
        <v>1</v>
      </c>
    </row>
    <row r="854" spans="1:6" x14ac:dyDescent="0.25">
      <c r="A854">
        <v>1</v>
      </c>
      <c r="B854">
        <v>10.8</v>
      </c>
      <c r="C854">
        <v>19.8</v>
      </c>
      <c r="D854">
        <v>30.8</v>
      </c>
      <c r="E854">
        <v>99.6</v>
      </c>
      <c r="F854">
        <v>1</v>
      </c>
    </row>
    <row r="855" spans="1:6" x14ac:dyDescent="0.25">
      <c r="A855">
        <v>0</v>
      </c>
      <c r="B855">
        <v>10.9</v>
      </c>
      <c r="C855">
        <v>28.6</v>
      </c>
      <c r="D855">
        <v>28.6</v>
      </c>
      <c r="E855">
        <v>84.8</v>
      </c>
      <c r="F855">
        <v>1</v>
      </c>
    </row>
    <row r="856" spans="1:6" x14ac:dyDescent="0.25">
      <c r="A856">
        <v>0</v>
      </c>
      <c r="B856">
        <v>15.8</v>
      </c>
      <c r="C856">
        <v>25.5</v>
      </c>
      <c r="D856">
        <v>28.9</v>
      </c>
      <c r="E856">
        <v>72.599999999999994</v>
      </c>
      <c r="F856">
        <v>0</v>
      </c>
    </row>
    <row r="857" spans="1:6" x14ac:dyDescent="0.25">
      <c r="A857">
        <v>1</v>
      </c>
      <c r="B857">
        <v>13.3</v>
      </c>
      <c r="C857">
        <v>28.5</v>
      </c>
      <c r="D857">
        <v>29</v>
      </c>
      <c r="E857">
        <v>87.7</v>
      </c>
      <c r="F857">
        <v>1</v>
      </c>
    </row>
    <row r="858" spans="1:6" x14ac:dyDescent="0.25">
      <c r="A858">
        <v>1</v>
      </c>
      <c r="B858">
        <v>16.8</v>
      </c>
      <c r="C858">
        <v>22.7</v>
      </c>
      <c r="D858">
        <v>32</v>
      </c>
      <c r="E858">
        <v>94.3</v>
      </c>
      <c r="F858">
        <v>0</v>
      </c>
    </row>
    <row r="859" spans="1:6" x14ac:dyDescent="0.25">
      <c r="A859">
        <v>1</v>
      </c>
      <c r="B859">
        <v>11.1</v>
      </c>
      <c r="C859">
        <v>28</v>
      </c>
      <c r="D859">
        <v>30.8</v>
      </c>
      <c r="E859">
        <v>77.3</v>
      </c>
      <c r="F859">
        <v>1</v>
      </c>
    </row>
    <row r="860" spans="1:6" x14ac:dyDescent="0.25">
      <c r="A860">
        <v>0</v>
      </c>
      <c r="B860">
        <v>12.5</v>
      </c>
      <c r="C860">
        <v>29.7</v>
      </c>
      <c r="D860">
        <v>30.6</v>
      </c>
      <c r="E860">
        <v>90.5</v>
      </c>
      <c r="F860">
        <v>0</v>
      </c>
    </row>
    <row r="861" spans="1:6" x14ac:dyDescent="0.25">
      <c r="A861">
        <v>1</v>
      </c>
      <c r="B861">
        <v>12.5</v>
      </c>
      <c r="C861">
        <v>25.2</v>
      </c>
      <c r="D861">
        <v>28.3</v>
      </c>
      <c r="E861">
        <v>73.599999999999994</v>
      </c>
      <c r="F861">
        <v>1</v>
      </c>
    </row>
    <row r="862" spans="1:6" x14ac:dyDescent="0.25">
      <c r="A862">
        <v>0</v>
      </c>
      <c r="B862">
        <v>10.8</v>
      </c>
      <c r="C862">
        <v>19.7</v>
      </c>
      <c r="D862">
        <v>29.5</v>
      </c>
      <c r="E862">
        <v>93</v>
      </c>
      <c r="F862">
        <v>1</v>
      </c>
    </row>
    <row r="863" spans="1:6" x14ac:dyDescent="0.25">
      <c r="A863">
        <v>1</v>
      </c>
      <c r="B863">
        <v>10.5</v>
      </c>
      <c r="C863">
        <v>23</v>
      </c>
      <c r="D863">
        <v>30.4</v>
      </c>
      <c r="E863">
        <v>100.1</v>
      </c>
      <c r="F863">
        <v>1</v>
      </c>
    </row>
    <row r="864" spans="1:6" x14ac:dyDescent="0.25">
      <c r="A864">
        <v>1</v>
      </c>
      <c r="B864">
        <v>11.9</v>
      </c>
      <c r="C864">
        <v>25.9</v>
      </c>
      <c r="D864">
        <v>32</v>
      </c>
      <c r="E864">
        <v>83.2</v>
      </c>
      <c r="F864">
        <v>1</v>
      </c>
    </row>
    <row r="865" spans="1:6" x14ac:dyDescent="0.25">
      <c r="A865">
        <v>1</v>
      </c>
      <c r="B865">
        <v>13.2</v>
      </c>
      <c r="C865">
        <v>17.8</v>
      </c>
      <c r="D865">
        <v>29.6</v>
      </c>
      <c r="E865">
        <v>71.2</v>
      </c>
      <c r="F865">
        <v>1</v>
      </c>
    </row>
    <row r="866" spans="1:6" x14ac:dyDescent="0.25">
      <c r="A866">
        <v>1</v>
      </c>
      <c r="B866">
        <v>14.8</v>
      </c>
      <c r="C866">
        <v>29.6</v>
      </c>
      <c r="D866">
        <v>31.7</v>
      </c>
      <c r="E866">
        <v>91.6</v>
      </c>
      <c r="F866">
        <v>0</v>
      </c>
    </row>
    <row r="867" spans="1:6" x14ac:dyDescent="0.25">
      <c r="A867">
        <v>0</v>
      </c>
      <c r="B867">
        <v>11.4</v>
      </c>
      <c r="C867">
        <v>16.5</v>
      </c>
      <c r="D867">
        <v>29.8</v>
      </c>
      <c r="E867">
        <v>100.3</v>
      </c>
      <c r="F867">
        <v>1</v>
      </c>
    </row>
    <row r="868" spans="1:6" x14ac:dyDescent="0.25">
      <c r="A868">
        <v>1</v>
      </c>
      <c r="B868">
        <v>10.9</v>
      </c>
      <c r="C868">
        <v>27.1</v>
      </c>
      <c r="D868">
        <v>30</v>
      </c>
      <c r="E868">
        <v>93.2</v>
      </c>
      <c r="F868">
        <v>1</v>
      </c>
    </row>
    <row r="869" spans="1:6" x14ac:dyDescent="0.25">
      <c r="A869">
        <v>0</v>
      </c>
      <c r="B869">
        <v>14.8</v>
      </c>
      <c r="C869">
        <v>16.2</v>
      </c>
      <c r="D869">
        <v>28.9</v>
      </c>
      <c r="E869">
        <v>75.8</v>
      </c>
      <c r="F869">
        <v>0</v>
      </c>
    </row>
    <row r="870" spans="1:6" x14ac:dyDescent="0.25">
      <c r="A870">
        <v>1</v>
      </c>
      <c r="B870">
        <v>15.5</v>
      </c>
      <c r="C870">
        <v>23.1</v>
      </c>
      <c r="D870">
        <v>29.1</v>
      </c>
      <c r="E870">
        <v>72.900000000000006</v>
      </c>
      <c r="F870">
        <v>0</v>
      </c>
    </row>
    <row r="871" spans="1:6" x14ac:dyDescent="0.25">
      <c r="A871">
        <v>1</v>
      </c>
      <c r="B871">
        <v>15.9</v>
      </c>
      <c r="C871">
        <v>21.6</v>
      </c>
      <c r="D871">
        <v>32.4</v>
      </c>
      <c r="E871">
        <v>83.7</v>
      </c>
      <c r="F871">
        <v>0</v>
      </c>
    </row>
    <row r="872" spans="1:6" x14ac:dyDescent="0.25">
      <c r="A872">
        <v>1</v>
      </c>
      <c r="B872">
        <v>16.7</v>
      </c>
      <c r="C872">
        <v>22.8</v>
      </c>
      <c r="D872">
        <v>32.5</v>
      </c>
      <c r="E872">
        <v>81.900000000000006</v>
      </c>
      <c r="F872">
        <v>0</v>
      </c>
    </row>
    <row r="873" spans="1:6" x14ac:dyDescent="0.25">
      <c r="A873">
        <v>1</v>
      </c>
      <c r="B873">
        <v>12.5</v>
      </c>
      <c r="C873">
        <v>19.399999999999999</v>
      </c>
      <c r="D873">
        <v>29.2</v>
      </c>
      <c r="E873">
        <v>97.4</v>
      </c>
      <c r="F873">
        <v>1</v>
      </c>
    </row>
    <row r="874" spans="1:6" x14ac:dyDescent="0.25">
      <c r="A874">
        <v>0</v>
      </c>
      <c r="B874">
        <v>13.3</v>
      </c>
      <c r="C874">
        <v>26.3</v>
      </c>
      <c r="D874">
        <v>30</v>
      </c>
      <c r="E874">
        <v>100</v>
      </c>
      <c r="F874">
        <v>0</v>
      </c>
    </row>
    <row r="875" spans="1:6" x14ac:dyDescent="0.25">
      <c r="A875">
        <v>0</v>
      </c>
      <c r="B875">
        <v>13.8</v>
      </c>
      <c r="C875">
        <v>21</v>
      </c>
      <c r="D875">
        <v>28.6</v>
      </c>
      <c r="E875">
        <v>80.8</v>
      </c>
      <c r="F875">
        <v>0</v>
      </c>
    </row>
    <row r="876" spans="1:6" x14ac:dyDescent="0.25">
      <c r="A876">
        <v>0</v>
      </c>
      <c r="B876">
        <v>12.3</v>
      </c>
      <c r="C876">
        <v>23</v>
      </c>
      <c r="D876">
        <v>29.3</v>
      </c>
      <c r="E876">
        <v>85.8</v>
      </c>
      <c r="F876">
        <v>0</v>
      </c>
    </row>
    <row r="877" spans="1:6" x14ac:dyDescent="0.25">
      <c r="A877">
        <v>0</v>
      </c>
      <c r="B877">
        <v>11.2</v>
      </c>
      <c r="C877">
        <v>23.1</v>
      </c>
      <c r="D877">
        <v>30.3</v>
      </c>
      <c r="E877">
        <v>75.2</v>
      </c>
      <c r="F877">
        <v>1</v>
      </c>
    </row>
    <row r="878" spans="1:6" x14ac:dyDescent="0.25">
      <c r="A878">
        <v>0</v>
      </c>
      <c r="B878">
        <v>10.7</v>
      </c>
      <c r="C878">
        <v>22.8</v>
      </c>
      <c r="D878">
        <v>30.5</v>
      </c>
      <c r="E878">
        <v>81.3</v>
      </c>
      <c r="F878">
        <v>1</v>
      </c>
    </row>
    <row r="879" spans="1:6" x14ac:dyDescent="0.25">
      <c r="A879">
        <v>0</v>
      </c>
      <c r="B879">
        <v>15</v>
      </c>
      <c r="C879">
        <v>21.8</v>
      </c>
      <c r="D879">
        <v>28.8</v>
      </c>
      <c r="E879">
        <v>95.2</v>
      </c>
      <c r="F879">
        <v>0</v>
      </c>
    </row>
    <row r="880" spans="1:6" x14ac:dyDescent="0.25">
      <c r="A880">
        <v>1</v>
      </c>
      <c r="B880">
        <v>11.8</v>
      </c>
      <c r="C880">
        <v>28.5</v>
      </c>
      <c r="D880">
        <v>31.8</v>
      </c>
      <c r="E880">
        <v>89.7</v>
      </c>
      <c r="F880">
        <v>1</v>
      </c>
    </row>
    <row r="881" spans="1:6" x14ac:dyDescent="0.25">
      <c r="A881">
        <v>0</v>
      </c>
      <c r="B881">
        <v>16.8</v>
      </c>
      <c r="C881">
        <v>24.9</v>
      </c>
      <c r="D881">
        <v>32</v>
      </c>
      <c r="E881">
        <v>80.599999999999994</v>
      </c>
      <c r="F881">
        <v>0</v>
      </c>
    </row>
    <row r="882" spans="1:6" x14ac:dyDescent="0.25">
      <c r="A882">
        <v>0</v>
      </c>
      <c r="B882">
        <v>16.8</v>
      </c>
      <c r="C882">
        <v>22.3</v>
      </c>
      <c r="D882">
        <v>30.8</v>
      </c>
      <c r="E882">
        <v>76.7</v>
      </c>
      <c r="F882">
        <v>0</v>
      </c>
    </row>
    <row r="883" spans="1:6" x14ac:dyDescent="0.25">
      <c r="A883">
        <v>1</v>
      </c>
      <c r="B883">
        <v>10.8</v>
      </c>
      <c r="C883">
        <v>28</v>
      </c>
      <c r="D883">
        <v>28.8</v>
      </c>
      <c r="E883">
        <v>90.6</v>
      </c>
      <c r="F883">
        <v>1</v>
      </c>
    </row>
    <row r="884" spans="1:6" x14ac:dyDescent="0.25">
      <c r="A884">
        <v>1</v>
      </c>
      <c r="B884">
        <v>15.2</v>
      </c>
      <c r="C884">
        <v>24.9</v>
      </c>
      <c r="D884">
        <v>28.4</v>
      </c>
      <c r="E884">
        <v>90.1</v>
      </c>
      <c r="F884">
        <v>0</v>
      </c>
    </row>
    <row r="885" spans="1:6" x14ac:dyDescent="0.25">
      <c r="A885">
        <v>1</v>
      </c>
      <c r="B885">
        <v>11.4</v>
      </c>
      <c r="C885">
        <v>29.3</v>
      </c>
      <c r="D885">
        <v>28.7</v>
      </c>
      <c r="E885">
        <v>95.8</v>
      </c>
      <c r="F885">
        <v>1</v>
      </c>
    </row>
    <row r="886" spans="1:6" x14ac:dyDescent="0.25">
      <c r="A886">
        <v>1</v>
      </c>
      <c r="B886">
        <v>16.100000000000001</v>
      </c>
      <c r="C886">
        <v>25.9</v>
      </c>
      <c r="D886">
        <v>31.7</v>
      </c>
      <c r="E886">
        <v>78</v>
      </c>
      <c r="F886">
        <v>0</v>
      </c>
    </row>
    <row r="887" spans="1:6" x14ac:dyDescent="0.25">
      <c r="A887">
        <v>1</v>
      </c>
      <c r="B887">
        <v>10.8</v>
      </c>
      <c r="C887">
        <v>17.5</v>
      </c>
      <c r="D887">
        <v>29.3</v>
      </c>
      <c r="E887">
        <v>95.8</v>
      </c>
      <c r="F887">
        <v>1</v>
      </c>
    </row>
    <row r="888" spans="1:6" x14ac:dyDescent="0.25">
      <c r="A888">
        <v>0</v>
      </c>
      <c r="B888">
        <v>10.6</v>
      </c>
      <c r="C888">
        <v>28</v>
      </c>
      <c r="D888">
        <v>30.7</v>
      </c>
      <c r="E888">
        <v>90.9</v>
      </c>
      <c r="F888">
        <v>1</v>
      </c>
    </row>
    <row r="889" spans="1:6" x14ac:dyDescent="0.25">
      <c r="A889">
        <v>1</v>
      </c>
      <c r="B889">
        <v>12.6</v>
      </c>
      <c r="C889">
        <v>19.100000000000001</v>
      </c>
      <c r="D889">
        <v>31.5</v>
      </c>
      <c r="E889">
        <v>85.9</v>
      </c>
      <c r="F889">
        <v>1</v>
      </c>
    </row>
    <row r="890" spans="1:6" x14ac:dyDescent="0.25">
      <c r="A890">
        <v>1</v>
      </c>
      <c r="B890">
        <v>13.4</v>
      </c>
      <c r="C890">
        <v>17.8</v>
      </c>
      <c r="D890">
        <v>32.299999999999997</v>
      </c>
      <c r="E890">
        <v>101.3</v>
      </c>
      <c r="F890">
        <v>1</v>
      </c>
    </row>
    <row r="891" spans="1:6" x14ac:dyDescent="0.25">
      <c r="A891">
        <v>0</v>
      </c>
      <c r="B891">
        <v>16.600000000000001</v>
      </c>
      <c r="C891">
        <v>21.7</v>
      </c>
      <c r="D891">
        <v>30.8</v>
      </c>
      <c r="E891">
        <v>88.1</v>
      </c>
      <c r="F891">
        <v>0</v>
      </c>
    </row>
    <row r="892" spans="1:6" x14ac:dyDescent="0.25">
      <c r="A892">
        <v>1</v>
      </c>
      <c r="B892">
        <v>13.3</v>
      </c>
      <c r="C892">
        <v>25.4</v>
      </c>
      <c r="D892">
        <v>30.8</v>
      </c>
      <c r="E892">
        <v>82.9</v>
      </c>
      <c r="F892">
        <v>1</v>
      </c>
    </row>
    <row r="893" spans="1:6" x14ac:dyDescent="0.25">
      <c r="A893">
        <v>1</v>
      </c>
      <c r="B893">
        <v>14.6</v>
      </c>
      <c r="C893">
        <v>25.5</v>
      </c>
      <c r="D893">
        <v>31.8</v>
      </c>
      <c r="E893">
        <v>83.5</v>
      </c>
      <c r="F893">
        <v>0</v>
      </c>
    </row>
    <row r="894" spans="1:6" x14ac:dyDescent="0.25">
      <c r="A894">
        <v>0</v>
      </c>
      <c r="B894">
        <v>13.4</v>
      </c>
      <c r="C894">
        <v>26.3</v>
      </c>
      <c r="D894">
        <v>28.5</v>
      </c>
      <c r="E894">
        <v>84.6</v>
      </c>
      <c r="F894">
        <v>0</v>
      </c>
    </row>
    <row r="895" spans="1:6" x14ac:dyDescent="0.25">
      <c r="A895">
        <v>0</v>
      </c>
      <c r="B895">
        <v>13</v>
      </c>
      <c r="C895">
        <v>28.3</v>
      </c>
      <c r="D895">
        <v>30</v>
      </c>
      <c r="E895">
        <v>83</v>
      </c>
      <c r="F895">
        <v>0</v>
      </c>
    </row>
    <row r="896" spans="1:6" x14ac:dyDescent="0.25">
      <c r="A896">
        <v>1</v>
      </c>
      <c r="B896">
        <v>12.8</v>
      </c>
      <c r="C896">
        <v>21.6</v>
      </c>
      <c r="D896">
        <v>28.3</v>
      </c>
      <c r="E896">
        <v>81.2</v>
      </c>
      <c r="F896">
        <v>1</v>
      </c>
    </row>
    <row r="897" spans="1:6" x14ac:dyDescent="0.25">
      <c r="A897">
        <v>0</v>
      </c>
      <c r="B897">
        <v>10.6</v>
      </c>
      <c r="C897">
        <v>25.6</v>
      </c>
      <c r="D897">
        <v>28</v>
      </c>
      <c r="E897">
        <v>72.099999999999994</v>
      </c>
      <c r="F897">
        <v>1</v>
      </c>
    </row>
    <row r="898" spans="1:6" x14ac:dyDescent="0.25">
      <c r="A898">
        <v>0</v>
      </c>
      <c r="B898">
        <v>14.3</v>
      </c>
      <c r="C898">
        <v>27.6</v>
      </c>
      <c r="D898">
        <v>32.299999999999997</v>
      </c>
      <c r="E898">
        <v>74.3</v>
      </c>
      <c r="F898">
        <v>0</v>
      </c>
    </row>
    <row r="899" spans="1:6" x14ac:dyDescent="0.25">
      <c r="A899">
        <v>1</v>
      </c>
      <c r="B899">
        <v>13.1</v>
      </c>
      <c r="C899">
        <v>26.9</v>
      </c>
      <c r="D899">
        <v>29.5</v>
      </c>
      <c r="E899">
        <v>77.599999999999994</v>
      </c>
      <c r="F899">
        <v>1</v>
      </c>
    </row>
    <row r="900" spans="1:6" x14ac:dyDescent="0.25">
      <c r="A900">
        <v>0</v>
      </c>
      <c r="B900">
        <v>13.1</v>
      </c>
      <c r="C900">
        <v>27</v>
      </c>
      <c r="D900">
        <v>32.4</v>
      </c>
      <c r="E900">
        <v>97.8</v>
      </c>
      <c r="F900">
        <v>0</v>
      </c>
    </row>
    <row r="901" spans="1:6" x14ac:dyDescent="0.25">
      <c r="A901">
        <v>0</v>
      </c>
      <c r="B901">
        <v>15.5</v>
      </c>
      <c r="C901">
        <v>26.9</v>
      </c>
      <c r="D901">
        <v>28</v>
      </c>
      <c r="E901">
        <v>72.7</v>
      </c>
      <c r="F901">
        <v>0</v>
      </c>
    </row>
    <row r="902" spans="1:6" x14ac:dyDescent="0.25">
      <c r="A902">
        <v>0</v>
      </c>
      <c r="B902">
        <v>14</v>
      </c>
      <c r="C902">
        <v>26.9</v>
      </c>
      <c r="D902">
        <v>28</v>
      </c>
      <c r="E902">
        <v>89.9</v>
      </c>
      <c r="F902">
        <v>0</v>
      </c>
    </row>
    <row r="903" spans="1:6" x14ac:dyDescent="0.25">
      <c r="A903">
        <v>1</v>
      </c>
      <c r="B903">
        <v>15.3</v>
      </c>
      <c r="C903">
        <v>28.9</v>
      </c>
      <c r="D903">
        <v>31.6</v>
      </c>
      <c r="E903">
        <v>76.3</v>
      </c>
      <c r="F903">
        <v>0</v>
      </c>
    </row>
    <row r="904" spans="1:6" x14ac:dyDescent="0.25">
      <c r="A904">
        <v>1</v>
      </c>
      <c r="B904">
        <v>14.3</v>
      </c>
      <c r="C904">
        <v>20.399999999999999</v>
      </c>
      <c r="D904">
        <v>28</v>
      </c>
      <c r="E904">
        <v>97.4</v>
      </c>
      <c r="F904">
        <v>0</v>
      </c>
    </row>
    <row r="905" spans="1:6" x14ac:dyDescent="0.25">
      <c r="A905">
        <v>0</v>
      </c>
      <c r="B905">
        <v>11.1</v>
      </c>
      <c r="C905">
        <v>16.100000000000001</v>
      </c>
      <c r="D905">
        <v>32.5</v>
      </c>
      <c r="E905">
        <v>77.099999999999994</v>
      </c>
      <c r="F905">
        <v>1</v>
      </c>
    </row>
    <row r="906" spans="1:6" x14ac:dyDescent="0.25">
      <c r="A906">
        <v>1</v>
      </c>
      <c r="B906">
        <v>14.4</v>
      </c>
      <c r="C906">
        <v>18.100000000000001</v>
      </c>
      <c r="D906">
        <v>28.7</v>
      </c>
      <c r="E906">
        <v>80.2</v>
      </c>
      <c r="F906">
        <v>0</v>
      </c>
    </row>
    <row r="907" spans="1:6" x14ac:dyDescent="0.25">
      <c r="A907">
        <v>0</v>
      </c>
      <c r="B907">
        <v>12</v>
      </c>
      <c r="C907">
        <v>19.399999999999999</v>
      </c>
      <c r="D907">
        <v>29.6</v>
      </c>
      <c r="E907">
        <v>71.5</v>
      </c>
      <c r="F907">
        <v>0</v>
      </c>
    </row>
    <row r="908" spans="1:6" x14ac:dyDescent="0.25">
      <c r="A908">
        <v>0</v>
      </c>
      <c r="B908">
        <v>11.7</v>
      </c>
      <c r="C908">
        <v>19.899999999999999</v>
      </c>
      <c r="D908">
        <v>28.9</v>
      </c>
      <c r="E908">
        <v>71.599999999999994</v>
      </c>
      <c r="F908">
        <v>1</v>
      </c>
    </row>
    <row r="909" spans="1:6" x14ac:dyDescent="0.25">
      <c r="A909">
        <v>1</v>
      </c>
      <c r="B909">
        <v>12.7</v>
      </c>
      <c r="C909">
        <v>22.5</v>
      </c>
      <c r="D909">
        <v>28.3</v>
      </c>
      <c r="E909">
        <v>93.5</v>
      </c>
      <c r="F909">
        <v>1</v>
      </c>
    </row>
    <row r="910" spans="1:6" x14ac:dyDescent="0.25">
      <c r="A910">
        <v>1</v>
      </c>
      <c r="B910">
        <v>12.2</v>
      </c>
      <c r="C910">
        <v>20.100000000000001</v>
      </c>
      <c r="D910">
        <v>29.8</v>
      </c>
      <c r="E910">
        <v>72.599999999999994</v>
      </c>
      <c r="F910">
        <v>1</v>
      </c>
    </row>
    <row r="911" spans="1:6" x14ac:dyDescent="0.25">
      <c r="A911">
        <v>1</v>
      </c>
      <c r="B911">
        <v>15.2</v>
      </c>
      <c r="C911">
        <v>19.5</v>
      </c>
      <c r="D911">
        <v>28.3</v>
      </c>
      <c r="E911">
        <v>74.099999999999994</v>
      </c>
      <c r="F911">
        <v>0</v>
      </c>
    </row>
    <row r="912" spans="1:6" x14ac:dyDescent="0.25">
      <c r="A912">
        <v>0</v>
      </c>
      <c r="B912">
        <v>12</v>
      </c>
      <c r="C912">
        <v>21.5</v>
      </c>
      <c r="D912">
        <v>29.1</v>
      </c>
      <c r="E912">
        <v>101.1</v>
      </c>
      <c r="F912">
        <v>0</v>
      </c>
    </row>
    <row r="913" spans="1:6" x14ac:dyDescent="0.25">
      <c r="A913">
        <v>1</v>
      </c>
      <c r="B913">
        <v>11.5</v>
      </c>
      <c r="C913">
        <v>17.399999999999999</v>
      </c>
      <c r="D913">
        <v>32.1</v>
      </c>
      <c r="E913">
        <v>87.3</v>
      </c>
      <c r="F913">
        <v>1</v>
      </c>
    </row>
    <row r="914" spans="1:6" x14ac:dyDescent="0.25">
      <c r="A914">
        <v>1</v>
      </c>
      <c r="B914">
        <v>15.1</v>
      </c>
      <c r="C914">
        <v>24.3</v>
      </c>
      <c r="D914">
        <v>31.4</v>
      </c>
      <c r="E914">
        <v>76.099999999999994</v>
      </c>
      <c r="F914">
        <v>0</v>
      </c>
    </row>
    <row r="915" spans="1:6" x14ac:dyDescent="0.25">
      <c r="A915">
        <v>0</v>
      </c>
      <c r="B915">
        <v>11.5</v>
      </c>
      <c r="C915">
        <v>18.899999999999999</v>
      </c>
      <c r="D915">
        <v>31.2</v>
      </c>
      <c r="E915">
        <v>81.3</v>
      </c>
      <c r="F915">
        <v>1</v>
      </c>
    </row>
    <row r="916" spans="1:6" x14ac:dyDescent="0.25">
      <c r="A916">
        <v>0</v>
      </c>
      <c r="B916">
        <v>12.8</v>
      </c>
      <c r="C916">
        <v>29.2</v>
      </c>
      <c r="D916">
        <v>32.1</v>
      </c>
      <c r="E916">
        <v>89.8</v>
      </c>
      <c r="F916">
        <v>0</v>
      </c>
    </row>
    <row r="917" spans="1:6" x14ac:dyDescent="0.25">
      <c r="A917">
        <v>1</v>
      </c>
      <c r="B917">
        <v>15.1</v>
      </c>
      <c r="C917">
        <v>21.6</v>
      </c>
      <c r="D917">
        <v>28.4</v>
      </c>
      <c r="E917">
        <v>100</v>
      </c>
      <c r="F917">
        <v>0</v>
      </c>
    </row>
    <row r="918" spans="1:6" x14ac:dyDescent="0.25">
      <c r="A918">
        <v>1</v>
      </c>
      <c r="B918">
        <v>11.5</v>
      </c>
      <c r="C918">
        <v>19.2</v>
      </c>
      <c r="D918">
        <v>30.8</v>
      </c>
      <c r="E918">
        <v>78.2</v>
      </c>
      <c r="F918">
        <v>1</v>
      </c>
    </row>
    <row r="919" spans="1:6" x14ac:dyDescent="0.25">
      <c r="A919">
        <v>1</v>
      </c>
      <c r="B919">
        <v>15</v>
      </c>
      <c r="C919">
        <v>19.899999999999999</v>
      </c>
      <c r="D919">
        <v>30.1</v>
      </c>
      <c r="E919">
        <v>76.5</v>
      </c>
      <c r="F919">
        <v>0</v>
      </c>
    </row>
    <row r="920" spans="1:6" x14ac:dyDescent="0.25">
      <c r="A920">
        <v>0</v>
      </c>
      <c r="B920">
        <v>13.2</v>
      </c>
      <c r="C920">
        <v>17</v>
      </c>
      <c r="D920">
        <v>29.4</v>
      </c>
      <c r="E920">
        <v>101.5</v>
      </c>
      <c r="F920">
        <v>0</v>
      </c>
    </row>
    <row r="921" spans="1:6" x14ac:dyDescent="0.25">
      <c r="A921">
        <v>1</v>
      </c>
      <c r="B921">
        <v>13.1</v>
      </c>
      <c r="C921">
        <v>21.3</v>
      </c>
      <c r="D921">
        <v>32.4</v>
      </c>
      <c r="E921">
        <v>100.6</v>
      </c>
      <c r="F921">
        <v>1</v>
      </c>
    </row>
    <row r="922" spans="1:6" x14ac:dyDescent="0.25">
      <c r="A922">
        <v>0</v>
      </c>
      <c r="B922">
        <v>16.600000000000001</v>
      </c>
      <c r="C922">
        <v>28.4</v>
      </c>
      <c r="D922">
        <v>31</v>
      </c>
      <c r="E922">
        <v>75.599999999999994</v>
      </c>
      <c r="F922">
        <v>0</v>
      </c>
    </row>
    <row r="923" spans="1:6" x14ac:dyDescent="0.25">
      <c r="A923">
        <v>0</v>
      </c>
      <c r="B923">
        <v>13.6</v>
      </c>
      <c r="C923">
        <v>29.8</v>
      </c>
      <c r="D923">
        <v>32.4</v>
      </c>
      <c r="E923">
        <v>76.599999999999994</v>
      </c>
      <c r="F923">
        <v>0</v>
      </c>
    </row>
    <row r="924" spans="1:6" x14ac:dyDescent="0.25">
      <c r="A924">
        <v>1</v>
      </c>
      <c r="B924">
        <v>13.7</v>
      </c>
      <c r="C924">
        <v>26</v>
      </c>
      <c r="D924">
        <v>31.4</v>
      </c>
      <c r="E924">
        <v>82.8</v>
      </c>
      <c r="F924">
        <v>0</v>
      </c>
    </row>
    <row r="925" spans="1:6" x14ac:dyDescent="0.25">
      <c r="A925">
        <v>1</v>
      </c>
      <c r="B925">
        <v>12.8</v>
      </c>
      <c r="C925">
        <v>19.5</v>
      </c>
      <c r="D925">
        <v>32.200000000000003</v>
      </c>
      <c r="E925">
        <v>72.099999999999994</v>
      </c>
      <c r="F925">
        <v>1</v>
      </c>
    </row>
    <row r="926" spans="1:6" x14ac:dyDescent="0.25">
      <c r="A926">
        <v>0</v>
      </c>
      <c r="B926">
        <v>14.3</v>
      </c>
      <c r="C926">
        <v>19.2</v>
      </c>
      <c r="D926">
        <v>30.9</v>
      </c>
      <c r="E926">
        <v>94.8</v>
      </c>
      <c r="F926">
        <v>0</v>
      </c>
    </row>
    <row r="927" spans="1:6" x14ac:dyDescent="0.25">
      <c r="A927">
        <v>1</v>
      </c>
      <c r="B927">
        <v>14.4</v>
      </c>
      <c r="C927">
        <v>25.2</v>
      </c>
      <c r="D927">
        <v>32.200000000000003</v>
      </c>
      <c r="E927">
        <v>94.9</v>
      </c>
      <c r="F927">
        <v>0</v>
      </c>
    </row>
    <row r="928" spans="1:6" x14ac:dyDescent="0.25">
      <c r="A928">
        <v>0</v>
      </c>
      <c r="B928">
        <v>14</v>
      </c>
      <c r="C928">
        <v>18.2</v>
      </c>
      <c r="D928">
        <v>29.6</v>
      </c>
      <c r="E928">
        <v>77.599999999999994</v>
      </c>
      <c r="F928">
        <v>0</v>
      </c>
    </row>
    <row r="929" spans="1:6" x14ac:dyDescent="0.25">
      <c r="A929">
        <v>0</v>
      </c>
      <c r="B929">
        <v>16.8</v>
      </c>
      <c r="C929">
        <v>24.4</v>
      </c>
      <c r="D929">
        <v>28.2</v>
      </c>
      <c r="E929">
        <v>74.8</v>
      </c>
      <c r="F929">
        <v>0</v>
      </c>
    </row>
    <row r="930" spans="1:6" x14ac:dyDescent="0.25">
      <c r="A930">
        <v>0</v>
      </c>
      <c r="B930">
        <v>16.899999999999999</v>
      </c>
      <c r="C930">
        <v>19.3</v>
      </c>
      <c r="D930">
        <v>29.1</v>
      </c>
      <c r="E930">
        <v>82.1</v>
      </c>
      <c r="F930">
        <v>0</v>
      </c>
    </row>
    <row r="931" spans="1:6" x14ac:dyDescent="0.25">
      <c r="A931">
        <v>1</v>
      </c>
      <c r="B931">
        <v>12.3</v>
      </c>
      <c r="C931">
        <v>22.9</v>
      </c>
      <c r="D931">
        <v>27.9</v>
      </c>
      <c r="E931">
        <v>71</v>
      </c>
      <c r="F931">
        <v>1</v>
      </c>
    </row>
    <row r="932" spans="1:6" x14ac:dyDescent="0.25">
      <c r="A932">
        <v>1</v>
      </c>
      <c r="B932">
        <v>11.6</v>
      </c>
      <c r="C932">
        <v>24.6</v>
      </c>
      <c r="D932">
        <v>28.2</v>
      </c>
      <c r="E932">
        <v>96.7</v>
      </c>
      <c r="F932">
        <v>1</v>
      </c>
    </row>
    <row r="933" spans="1:6" x14ac:dyDescent="0.25">
      <c r="A933">
        <v>0</v>
      </c>
      <c r="B933">
        <v>11.7</v>
      </c>
      <c r="C933">
        <v>24.4</v>
      </c>
      <c r="D933">
        <v>31.5</v>
      </c>
      <c r="E933">
        <v>99.8</v>
      </c>
      <c r="F933">
        <v>1</v>
      </c>
    </row>
    <row r="934" spans="1:6" x14ac:dyDescent="0.25">
      <c r="A934">
        <v>1</v>
      </c>
      <c r="B934">
        <v>12.9</v>
      </c>
      <c r="C934">
        <v>19.5</v>
      </c>
      <c r="D934">
        <v>28.7</v>
      </c>
      <c r="E934">
        <v>87.7</v>
      </c>
      <c r="F934">
        <v>1</v>
      </c>
    </row>
    <row r="935" spans="1:6" x14ac:dyDescent="0.25">
      <c r="A935">
        <v>0</v>
      </c>
      <c r="B935">
        <v>15</v>
      </c>
      <c r="C935">
        <v>19.5</v>
      </c>
      <c r="D935">
        <v>31.3</v>
      </c>
      <c r="E935">
        <v>71.900000000000006</v>
      </c>
      <c r="F935">
        <v>0</v>
      </c>
    </row>
    <row r="936" spans="1:6" x14ac:dyDescent="0.25">
      <c r="A936">
        <v>0</v>
      </c>
      <c r="B936">
        <v>13.6</v>
      </c>
      <c r="C936">
        <v>28.8</v>
      </c>
      <c r="D936">
        <v>32.5</v>
      </c>
      <c r="E936">
        <v>99.6</v>
      </c>
      <c r="F936">
        <v>0</v>
      </c>
    </row>
    <row r="937" spans="1:6" x14ac:dyDescent="0.25">
      <c r="A937">
        <v>0</v>
      </c>
      <c r="B937">
        <v>11.2</v>
      </c>
      <c r="C937">
        <v>18.8</v>
      </c>
      <c r="D937">
        <v>30.9</v>
      </c>
      <c r="E937">
        <v>94.7</v>
      </c>
      <c r="F937">
        <v>1</v>
      </c>
    </row>
    <row r="938" spans="1:6" x14ac:dyDescent="0.25">
      <c r="A938">
        <v>0</v>
      </c>
      <c r="B938">
        <v>11.6</v>
      </c>
      <c r="C938">
        <v>18.8</v>
      </c>
      <c r="D938">
        <v>29.3</v>
      </c>
      <c r="E938">
        <v>79.099999999999994</v>
      </c>
      <c r="F938">
        <v>1</v>
      </c>
    </row>
    <row r="939" spans="1:6" x14ac:dyDescent="0.25">
      <c r="A939">
        <v>1</v>
      </c>
      <c r="B939">
        <v>12.1</v>
      </c>
      <c r="C939">
        <v>18.899999999999999</v>
      </c>
      <c r="D939">
        <v>31.2</v>
      </c>
      <c r="E939">
        <v>76</v>
      </c>
      <c r="F939">
        <v>1</v>
      </c>
    </row>
    <row r="940" spans="1:6" x14ac:dyDescent="0.25">
      <c r="A940">
        <v>0</v>
      </c>
      <c r="B940">
        <v>16</v>
      </c>
      <c r="C940">
        <v>23.6</v>
      </c>
      <c r="D940">
        <v>29.4</v>
      </c>
      <c r="E940">
        <v>95.6</v>
      </c>
      <c r="F940">
        <v>0</v>
      </c>
    </row>
    <row r="941" spans="1:6" x14ac:dyDescent="0.25">
      <c r="A941">
        <v>0</v>
      </c>
      <c r="B941">
        <v>13.2</v>
      </c>
      <c r="C941">
        <v>25.6</v>
      </c>
      <c r="D941">
        <v>31.1</v>
      </c>
      <c r="E941">
        <v>100.4</v>
      </c>
      <c r="F941">
        <v>0</v>
      </c>
    </row>
    <row r="942" spans="1:6" x14ac:dyDescent="0.25">
      <c r="A942">
        <v>0</v>
      </c>
      <c r="B942">
        <v>13</v>
      </c>
      <c r="C942">
        <v>26.2</v>
      </c>
      <c r="D942">
        <v>31.3</v>
      </c>
      <c r="E942">
        <v>74.900000000000006</v>
      </c>
      <c r="F942">
        <v>0</v>
      </c>
    </row>
    <row r="943" spans="1:6" x14ac:dyDescent="0.25">
      <c r="A943">
        <v>1</v>
      </c>
      <c r="B943">
        <v>13.2</v>
      </c>
      <c r="C943">
        <v>20.100000000000001</v>
      </c>
      <c r="D943">
        <v>28.8</v>
      </c>
      <c r="E943">
        <v>91.2</v>
      </c>
      <c r="F943">
        <v>1</v>
      </c>
    </row>
    <row r="944" spans="1:6" x14ac:dyDescent="0.25">
      <c r="A944">
        <v>0</v>
      </c>
      <c r="B944">
        <v>10.6</v>
      </c>
      <c r="C944">
        <v>25.4</v>
      </c>
      <c r="D944">
        <v>28.2</v>
      </c>
      <c r="E944">
        <v>82.9</v>
      </c>
      <c r="F944">
        <v>1</v>
      </c>
    </row>
    <row r="945" spans="1:6" x14ac:dyDescent="0.25">
      <c r="A945">
        <v>1</v>
      </c>
      <c r="B945">
        <v>12.1</v>
      </c>
      <c r="C945">
        <v>28.3</v>
      </c>
      <c r="D945">
        <v>30.4</v>
      </c>
      <c r="E945">
        <v>86.9</v>
      </c>
      <c r="F945">
        <v>1</v>
      </c>
    </row>
    <row r="946" spans="1:6" x14ac:dyDescent="0.25">
      <c r="A946">
        <v>1</v>
      </c>
      <c r="B946">
        <v>13.1</v>
      </c>
      <c r="C946">
        <v>17.7</v>
      </c>
      <c r="D946">
        <v>28.1</v>
      </c>
      <c r="E946">
        <v>80.7</v>
      </c>
      <c r="F946">
        <v>1</v>
      </c>
    </row>
    <row r="947" spans="1:6" x14ac:dyDescent="0.25">
      <c r="A947">
        <v>0</v>
      </c>
      <c r="B947">
        <v>14.3</v>
      </c>
      <c r="C947">
        <v>16.2</v>
      </c>
      <c r="D947">
        <v>29.5</v>
      </c>
      <c r="E947">
        <v>95.2</v>
      </c>
      <c r="F947">
        <v>0</v>
      </c>
    </row>
    <row r="948" spans="1:6" x14ac:dyDescent="0.25">
      <c r="A948">
        <v>0</v>
      </c>
      <c r="B948">
        <v>11.8</v>
      </c>
      <c r="C948">
        <v>21.2</v>
      </c>
      <c r="D948">
        <v>28.4</v>
      </c>
      <c r="E948">
        <v>98.1</v>
      </c>
      <c r="F948">
        <v>1</v>
      </c>
    </row>
    <row r="949" spans="1:6" x14ac:dyDescent="0.25">
      <c r="A949">
        <v>1</v>
      </c>
      <c r="B949">
        <v>12.4</v>
      </c>
      <c r="C949">
        <v>21.7</v>
      </c>
      <c r="D949">
        <v>31.9</v>
      </c>
      <c r="E949">
        <v>90.9</v>
      </c>
      <c r="F949">
        <v>1</v>
      </c>
    </row>
    <row r="950" spans="1:6" x14ac:dyDescent="0.25">
      <c r="A950">
        <v>1</v>
      </c>
      <c r="B950">
        <v>10.8</v>
      </c>
      <c r="C950">
        <v>26.7</v>
      </c>
      <c r="D950">
        <v>31.6</v>
      </c>
      <c r="E950">
        <v>98.3</v>
      </c>
      <c r="F950">
        <v>1</v>
      </c>
    </row>
    <row r="951" spans="1:6" x14ac:dyDescent="0.25">
      <c r="A951">
        <v>0</v>
      </c>
      <c r="B951">
        <v>11.9</v>
      </c>
      <c r="C951">
        <v>16.7</v>
      </c>
      <c r="D951">
        <v>31.9</v>
      </c>
      <c r="E951">
        <v>74.099999999999994</v>
      </c>
      <c r="F951">
        <v>1</v>
      </c>
    </row>
    <row r="952" spans="1:6" x14ac:dyDescent="0.25">
      <c r="A952">
        <v>1</v>
      </c>
      <c r="B952">
        <v>15.2</v>
      </c>
      <c r="C952">
        <v>19.8</v>
      </c>
      <c r="D952">
        <v>28.5</v>
      </c>
      <c r="E952">
        <v>83.7</v>
      </c>
      <c r="F952">
        <v>0</v>
      </c>
    </row>
    <row r="953" spans="1:6" x14ac:dyDescent="0.25">
      <c r="A953">
        <v>0</v>
      </c>
      <c r="B953">
        <v>15.3</v>
      </c>
      <c r="C953">
        <v>18.3</v>
      </c>
      <c r="D953">
        <v>30.4</v>
      </c>
      <c r="E953">
        <v>93.4</v>
      </c>
      <c r="F953">
        <v>0</v>
      </c>
    </row>
    <row r="954" spans="1:6" x14ac:dyDescent="0.25">
      <c r="A954">
        <v>1</v>
      </c>
      <c r="B954">
        <v>12.5</v>
      </c>
      <c r="C954">
        <v>22.2</v>
      </c>
      <c r="D954">
        <v>27.9</v>
      </c>
      <c r="E954">
        <v>89.4</v>
      </c>
      <c r="F954">
        <v>1</v>
      </c>
    </row>
    <row r="955" spans="1:6" x14ac:dyDescent="0.25">
      <c r="A955">
        <v>1</v>
      </c>
      <c r="B955">
        <v>15.2</v>
      </c>
      <c r="C955">
        <v>29</v>
      </c>
      <c r="D955">
        <v>28.2</v>
      </c>
      <c r="E955">
        <v>90.2</v>
      </c>
      <c r="F955">
        <v>0</v>
      </c>
    </row>
    <row r="956" spans="1:6" x14ac:dyDescent="0.25">
      <c r="A956">
        <v>0</v>
      </c>
      <c r="B956">
        <v>14.6</v>
      </c>
      <c r="C956">
        <v>16.899999999999999</v>
      </c>
      <c r="D956">
        <v>31.9</v>
      </c>
      <c r="E956">
        <v>78.099999999999994</v>
      </c>
      <c r="F956">
        <v>0</v>
      </c>
    </row>
    <row r="957" spans="1:6" x14ac:dyDescent="0.25">
      <c r="A957">
        <v>1</v>
      </c>
      <c r="B957">
        <v>13.6</v>
      </c>
      <c r="C957">
        <v>22.2</v>
      </c>
      <c r="D957">
        <v>29.6</v>
      </c>
      <c r="E957">
        <v>96.3</v>
      </c>
      <c r="F957">
        <v>0</v>
      </c>
    </row>
    <row r="958" spans="1:6" x14ac:dyDescent="0.25">
      <c r="A958">
        <v>1</v>
      </c>
      <c r="B958">
        <v>13.5</v>
      </c>
      <c r="C958">
        <v>19.8</v>
      </c>
      <c r="D958">
        <v>32.299999999999997</v>
      </c>
      <c r="E958">
        <v>89.4</v>
      </c>
      <c r="F958">
        <v>0</v>
      </c>
    </row>
    <row r="959" spans="1:6" x14ac:dyDescent="0.25">
      <c r="A959">
        <v>0</v>
      </c>
      <c r="B959">
        <v>13.1</v>
      </c>
      <c r="C959">
        <v>21.4</v>
      </c>
      <c r="D959">
        <v>29.4</v>
      </c>
      <c r="E959">
        <v>73.3</v>
      </c>
      <c r="F959">
        <v>0</v>
      </c>
    </row>
    <row r="960" spans="1:6" x14ac:dyDescent="0.25">
      <c r="A960">
        <v>0</v>
      </c>
      <c r="B960">
        <v>15.2</v>
      </c>
      <c r="C960">
        <v>21.5</v>
      </c>
      <c r="D960">
        <v>32.5</v>
      </c>
      <c r="E960">
        <v>84.5</v>
      </c>
      <c r="F960">
        <v>0</v>
      </c>
    </row>
    <row r="961" spans="1:6" x14ac:dyDescent="0.25">
      <c r="A961">
        <v>1</v>
      </c>
      <c r="B961">
        <v>10.6</v>
      </c>
      <c r="C961">
        <v>29.5</v>
      </c>
      <c r="D961">
        <v>30.4</v>
      </c>
      <c r="E961">
        <v>85</v>
      </c>
      <c r="F961">
        <v>1</v>
      </c>
    </row>
    <row r="962" spans="1:6" x14ac:dyDescent="0.25">
      <c r="A962">
        <v>0</v>
      </c>
      <c r="B962">
        <v>12.9</v>
      </c>
      <c r="C962">
        <v>21.8</v>
      </c>
      <c r="D962">
        <v>31.9</v>
      </c>
      <c r="E962">
        <v>94.4</v>
      </c>
      <c r="F962">
        <v>0</v>
      </c>
    </row>
    <row r="963" spans="1:6" x14ac:dyDescent="0.25">
      <c r="A963">
        <v>1</v>
      </c>
      <c r="B963">
        <v>12.9</v>
      </c>
      <c r="C963">
        <v>25.7</v>
      </c>
      <c r="D963">
        <v>29.7</v>
      </c>
      <c r="E963">
        <v>80.599999999999994</v>
      </c>
      <c r="F963">
        <v>1</v>
      </c>
    </row>
    <row r="964" spans="1:6" x14ac:dyDescent="0.25">
      <c r="A964">
        <v>0</v>
      </c>
      <c r="B964">
        <v>16.600000000000001</v>
      </c>
      <c r="C964">
        <v>26.3</v>
      </c>
      <c r="D964">
        <v>29.8</v>
      </c>
      <c r="E964">
        <v>85.1</v>
      </c>
      <c r="F964">
        <v>0</v>
      </c>
    </row>
    <row r="965" spans="1:6" x14ac:dyDescent="0.25">
      <c r="A965">
        <v>1</v>
      </c>
      <c r="B965">
        <v>12.5</v>
      </c>
      <c r="C965">
        <v>24.9</v>
      </c>
      <c r="D965">
        <v>30.5</v>
      </c>
      <c r="E965">
        <v>77.3</v>
      </c>
      <c r="F965">
        <v>1</v>
      </c>
    </row>
    <row r="966" spans="1:6" x14ac:dyDescent="0.25">
      <c r="A966">
        <v>0</v>
      </c>
      <c r="B966">
        <v>10.5</v>
      </c>
      <c r="C966">
        <v>28.5</v>
      </c>
      <c r="D966">
        <v>32.299999999999997</v>
      </c>
      <c r="E966">
        <v>70</v>
      </c>
      <c r="F966">
        <v>1</v>
      </c>
    </row>
    <row r="967" spans="1:6" x14ac:dyDescent="0.25">
      <c r="A967">
        <v>1</v>
      </c>
      <c r="B967">
        <v>14.3</v>
      </c>
      <c r="C967">
        <v>27.7</v>
      </c>
      <c r="D967">
        <v>28.9</v>
      </c>
      <c r="E967">
        <v>70.3</v>
      </c>
      <c r="F967">
        <v>0</v>
      </c>
    </row>
    <row r="968" spans="1:6" x14ac:dyDescent="0.25">
      <c r="A968">
        <v>1</v>
      </c>
      <c r="B968">
        <v>14</v>
      </c>
      <c r="C968">
        <v>20.100000000000001</v>
      </c>
      <c r="D968">
        <v>32.4</v>
      </c>
      <c r="E968">
        <v>71.099999999999994</v>
      </c>
      <c r="F968">
        <v>0</v>
      </c>
    </row>
    <row r="969" spans="1:6" x14ac:dyDescent="0.25">
      <c r="A969">
        <v>1</v>
      </c>
      <c r="B969">
        <v>10.7</v>
      </c>
      <c r="C969">
        <v>22.7</v>
      </c>
      <c r="D969">
        <v>30.5</v>
      </c>
      <c r="E969">
        <v>86.6</v>
      </c>
      <c r="F969">
        <v>1</v>
      </c>
    </row>
    <row r="970" spans="1:6" x14ac:dyDescent="0.25">
      <c r="A970">
        <v>0</v>
      </c>
      <c r="B970">
        <v>14</v>
      </c>
      <c r="C970">
        <v>27.4</v>
      </c>
      <c r="D970">
        <v>31.8</v>
      </c>
      <c r="E970">
        <v>87.2</v>
      </c>
      <c r="F970">
        <v>0</v>
      </c>
    </row>
    <row r="971" spans="1:6" x14ac:dyDescent="0.25">
      <c r="A971">
        <v>0</v>
      </c>
      <c r="B971">
        <v>16.8</v>
      </c>
      <c r="C971">
        <v>18.5</v>
      </c>
      <c r="D971">
        <v>28.6</v>
      </c>
      <c r="E971">
        <v>96</v>
      </c>
      <c r="F971">
        <v>0</v>
      </c>
    </row>
    <row r="972" spans="1:6" x14ac:dyDescent="0.25">
      <c r="A972">
        <v>1</v>
      </c>
      <c r="B972">
        <v>15.5</v>
      </c>
      <c r="C972">
        <v>21.3</v>
      </c>
      <c r="D972">
        <v>28</v>
      </c>
      <c r="E972">
        <v>75.900000000000006</v>
      </c>
      <c r="F972">
        <v>0</v>
      </c>
    </row>
    <row r="973" spans="1:6" x14ac:dyDescent="0.25">
      <c r="A973">
        <v>1</v>
      </c>
      <c r="B973">
        <v>12.9</v>
      </c>
      <c r="C973">
        <v>28.7</v>
      </c>
      <c r="D973">
        <v>31.1</v>
      </c>
      <c r="E973">
        <v>71.3</v>
      </c>
      <c r="F973">
        <v>1</v>
      </c>
    </row>
    <row r="974" spans="1:6" x14ac:dyDescent="0.25">
      <c r="A974">
        <v>0</v>
      </c>
      <c r="B974">
        <v>12.6</v>
      </c>
      <c r="C974">
        <v>25</v>
      </c>
      <c r="D974">
        <v>28</v>
      </c>
      <c r="E974">
        <v>88.3</v>
      </c>
      <c r="F974">
        <v>0</v>
      </c>
    </row>
    <row r="975" spans="1:6" x14ac:dyDescent="0.25">
      <c r="A975">
        <v>0</v>
      </c>
      <c r="B975">
        <v>15.5</v>
      </c>
      <c r="C975">
        <v>24.1</v>
      </c>
      <c r="D975">
        <v>32.200000000000003</v>
      </c>
      <c r="E975">
        <v>97.4</v>
      </c>
      <c r="F975">
        <v>0</v>
      </c>
    </row>
    <row r="976" spans="1:6" x14ac:dyDescent="0.25">
      <c r="A976">
        <v>1</v>
      </c>
      <c r="B976">
        <v>12.8</v>
      </c>
      <c r="C976">
        <v>18.399999999999999</v>
      </c>
      <c r="D976">
        <v>31</v>
      </c>
      <c r="E976">
        <v>101.6</v>
      </c>
      <c r="F976">
        <v>1</v>
      </c>
    </row>
    <row r="977" spans="1:6" x14ac:dyDescent="0.25">
      <c r="A977">
        <v>1</v>
      </c>
      <c r="B977">
        <v>13.2</v>
      </c>
      <c r="C977">
        <v>16.2</v>
      </c>
      <c r="D977">
        <v>30.6</v>
      </c>
      <c r="E977">
        <v>70.400000000000006</v>
      </c>
      <c r="F977">
        <v>1</v>
      </c>
    </row>
    <row r="978" spans="1:6" x14ac:dyDescent="0.25">
      <c r="A978">
        <v>1</v>
      </c>
      <c r="B978">
        <v>13.9</v>
      </c>
      <c r="C978">
        <v>22.5</v>
      </c>
      <c r="D978">
        <v>28.2</v>
      </c>
      <c r="E978">
        <v>98.5</v>
      </c>
      <c r="F978">
        <v>0</v>
      </c>
    </row>
    <row r="979" spans="1:6" x14ac:dyDescent="0.25">
      <c r="A979">
        <v>0</v>
      </c>
      <c r="B979">
        <v>11.7</v>
      </c>
      <c r="C979">
        <v>29.8</v>
      </c>
      <c r="D979">
        <v>31.8</v>
      </c>
      <c r="E979">
        <v>101.3</v>
      </c>
      <c r="F979">
        <v>1</v>
      </c>
    </row>
    <row r="980" spans="1:6" x14ac:dyDescent="0.25">
      <c r="A980">
        <v>1</v>
      </c>
      <c r="B980">
        <v>12</v>
      </c>
      <c r="C980">
        <v>29.1</v>
      </c>
      <c r="D980">
        <v>28.8</v>
      </c>
      <c r="E980">
        <v>82.7</v>
      </c>
      <c r="F980">
        <v>1</v>
      </c>
    </row>
    <row r="981" spans="1:6" x14ac:dyDescent="0.25">
      <c r="A981">
        <v>1</v>
      </c>
      <c r="B981">
        <v>12.5</v>
      </c>
      <c r="C981">
        <v>21.7</v>
      </c>
      <c r="D981">
        <v>29.7</v>
      </c>
      <c r="E981">
        <v>88.6</v>
      </c>
      <c r="F981">
        <v>1</v>
      </c>
    </row>
    <row r="982" spans="1:6" x14ac:dyDescent="0.25">
      <c r="A982">
        <v>0</v>
      </c>
      <c r="B982">
        <v>12.6</v>
      </c>
      <c r="C982">
        <v>23.2</v>
      </c>
      <c r="D982">
        <v>28.3</v>
      </c>
      <c r="E982">
        <v>92.9</v>
      </c>
      <c r="F982">
        <v>0</v>
      </c>
    </row>
    <row r="983" spans="1:6" x14ac:dyDescent="0.25">
      <c r="A983">
        <v>1</v>
      </c>
      <c r="B983">
        <v>11.4</v>
      </c>
      <c r="C983">
        <v>29</v>
      </c>
      <c r="D983">
        <v>32.1</v>
      </c>
      <c r="E983">
        <v>96.4</v>
      </c>
      <c r="F983">
        <v>1</v>
      </c>
    </row>
    <row r="984" spans="1:6" x14ac:dyDescent="0.25">
      <c r="A984">
        <v>0</v>
      </c>
      <c r="B984">
        <v>14.9</v>
      </c>
      <c r="C984">
        <v>24.4</v>
      </c>
      <c r="D984">
        <v>30.1</v>
      </c>
      <c r="E984">
        <v>94.7</v>
      </c>
      <c r="F984">
        <v>0</v>
      </c>
    </row>
    <row r="985" spans="1:6" x14ac:dyDescent="0.25">
      <c r="A985">
        <v>1</v>
      </c>
      <c r="B985">
        <v>14.9</v>
      </c>
      <c r="C985">
        <v>22.4</v>
      </c>
      <c r="D985">
        <v>29.9</v>
      </c>
      <c r="E985">
        <v>80.599999999999994</v>
      </c>
      <c r="F985">
        <v>0</v>
      </c>
    </row>
    <row r="986" spans="1:6" x14ac:dyDescent="0.25">
      <c r="A986">
        <v>0</v>
      </c>
      <c r="B986">
        <v>12.1</v>
      </c>
      <c r="C986">
        <v>29.1</v>
      </c>
      <c r="D986">
        <v>29.4</v>
      </c>
      <c r="E986">
        <v>85.3</v>
      </c>
      <c r="F986">
        <v>0</v>
      </c>
    </row>
    <row r="987" spans="1:6" x14ac:dyDescent="0.25">
      <c r="A987">
        <v>1</v>
      </c>
      <c r="B987">
        <v>11.1</v>
      </c>
      <c r="C987">
        <v>25</v>
      </c>
      <c r="D987">
        <v>31.7</v>
      </c>
      <c r="E987">
        <v>79.5</v>
      </c>
      <c r="F987">
        <v>1</v>
      </c>
    </row>
    <row r="988" spans="1:6" x14ac:dyDescent="0.25">
      <c r="A988">
        <v>1</v>
      </c>
      <c r="B988">
        <v>15.8</v>
      </c>
      <c r="C988">
        <v>24.1</v>
      </c>
      <c r="D988">
        <v>31.8</v>
      </c>
      <c r="E988">
        <v>98.5</v>
      </c>
      <c r="F988">
        <v>0</v>
      </c>
    </row>
    <row r="989" spans="1:6" x14ac:dyDescent="0.25">
      <c r="A989">
        <v>1</v>
      </c>
      <c r="B989">
        <v>14.1</v>
      </c>
      <c r="C989">
        <v>19.399999999999999</v>
      </c>
      <c r="D989">
        <v>32.1</v>
      </c>
      <c r="E989">
        <v>77.400000000000006</v>
      </c>
      <c r="F989">
        <v>0</v>
      </c>
    </row>
    <row r="990" spans="1:6" x14ac:dyDescent="0.25">
      <c r="A990">
        <v>1</v>
      </c>
      <c r="B990">
        <v>13.2</v>
      </c>
      <c r="C990">
        <v>27.4</v>
      </c>
      <c r="D990">
        <v>30.6</v>
      </c>
      <c r="E990">
        <v>101</v>
      </c>
      <c r="F990">
        <v>1</v>
      </c>
    </row>
    <row r="991" spans="1:6" x14ac:dyDescent="0.25">
      <c r="A991">
        <v>0</v>
      </c>
      <c r="B991">
        <v>16.399999999999999</v>
      </c>
      <c r="C991">
        <v>29.6</v>
      </c>
      <c r="D991">
        <v>30.6</v>
      </c>
      <c r="E991">
        <v>75.3</v>
      </c>
      <c r="F991">
        <v>0</v>
      </c>
    </row>
    <row r="992" spans="1:6" x14ac:dyDescent="0.25">
      <c r="A992">
        <v>1</v>
      </c>
      <c r="B992">
        <v>10.4</v>
      </c>
      <c r="C992">
        <v>29</v>
      </c>
      <c r="D992">
        <v>30</v>
      </c>
      <c r="E992">
        <v>92.3</v>
      </c>
      <c r="F992">
        <v>1</v>
      </c>
    </row>
    <row r="993" spans="1:6" x14ac:dyDescent="0.25">
      <c r="A993">
        <v>1</v>
      </c>
      <c r="B993">
        <v>16.3</v>
      </c>
      <c r="C993">
        <v>24.8</v>
      </c>
      <c r="D993">
        <v>30.6</v>
      </c>
      <c r="E993">
        <v>83.9</v>
      </c>
      <c r="F993">
        <v>0</v>
      </c>
    </row>
    <row r="994" spans="1:6" x14ac:dyDescent="0.25">
      <c r="A994">
        <v>1</v>
      </c>
      <c r="B994">
        <v>14.9</v>
      </c>
      <c r="C994">
        <v>28.2</v>
      </c>
      <c r="D994">
        <v>31.2</v>
      </c>
      <c r="E994">
        <v>90.8</v>
      </c>
      <c r="F994">
        <v>0</v>
      </c>
    </row>
    <row r="995" spans="1:6" x14ac:dyDescent="0.25">
      <c r="A995">
        <v>0</v>
      </c>
      <c r="B995">
        <v>15.3</v>
      </c>
      <c r="C995">
        <v>17.3</v>
      </c>
      <c r="D995">
        <v>32.200000000000003</v>
      </c>
      <c r="E995">
        <v>89.2</v>
      </c>
      <c r="F995">
        <v>0</v>
      </c>
    </row>
    <row r="996" spans="1:6" x14ac:dyDescent="0.25">
      <c r="A996">
        <v>0</v>
      </c>
      <c r="B996">
        <v>14.3</v>
      </c>
      <c r="C996">
        <v>21.3</v>
      </c>
      <c r="D996">
        <v>29.9</v>
      </c>
      <c r="E996">
        <v>101.4</v>
      </c>
      <c r="F996">
        <v>0</v>
      </c>
    </row>
    <row r="997" spans="1:6" x14ac:dyDescent="0.25">
      <c r="A997">
        <v>0</v>
      </c>
      <c r="B997">
        <v>12.4</v>
      </c>
      <c r="C997">
        <v>16.2</v>
      </c>
      <c r="D997">
        <v>31.8</v>
      </c>
      <c r="E997">
        <v>98.5</v>
      </c>
      <c r="F997">
        <v>0</v>
      </c>
    </row>
    <row r="998" spans="1:6" x14ac:dyDescent="0.25">
      <c r="A998">
        <v>1</v>
      </c>
      <c r="B998">
        <v>10.3</v>
      </c>
      <c r="C998">
        <v>22.5</v>
      </c>
      <c r="D998">
        <v>32.1</v>
      </c>
      <c r="E998">
        <v>75</v>
      </c>
      <c r="F998">
        <v>1</v>
      </c>
    </row>
    <row r="999" spans="1:6" x14ac:dyDescent="0.25">
      <c r="A999">
        <v>1</v>
      </c>
      <c r="B999">
        <v>16.600000000000001</v>
      </c>
      <c r="C999">
        <v>18.8</v>
      </c>
      <c r="D999">
        <v>28.1</v>
      </c>
      <c r="E999">
        <v>70.900000000000006</v>
      </c>
      <c r="F999">
        <v>0</v>
      </c>
    </row>
    <row r="1000" spans="1:6" x14ac:dyDescent="0.25">
      <c r="A1000">
        <v>1</v>
      </c>
      <c r="B1000">
        <v>12.7</v>
      </c>
      <c r="C1000">
        <v>27.8</v>
      </c>
      <c r="D1000">
        <v>28.4</v>
      </c>
      <c r="E1000">
        <v>72.3</v>
      </c>
      <c r="F1000">
        <v>1</v>
      </c>
    </row>
    <row r="1001" spans="1:6" x14ac:dyDescent="0.25">
      <c r="A1001">
        <v>0</v>
      </c>
      <c r="B1001">
        <v>14.8</v>
      </c>
      <c r="C1001">
        <v>25.2</v>
      </c>
      <c r="D1001">
        <v>30.7</v>
      </c>
      <c r="E1001">
        <v>101</v>
      </c>
      <c r="F1001">
        <v>0</v>
      </c>
    </row>
    <row r="1002" spans="1:6" x14ac:dyDescent="0.25">
      <c r="A1002">
        <v>0</v>
      </c>
      <c r="B1002">
        <v>12.7</v>
      </c>
      <c r="C1002">
        <v>24.3</v>
      </c>
      <c r="D1002">
        <v>31.4</v>
      </c>
      <c r="E1002">
        <v>75.5</v>
      </c>
      <c r="F1002">
        <v>0</v>
      </c>
    </row>
    <row r="1003" spans="1:6" x14ac:dyDescent="0.25">
      <c r="A1003">
        <v>1</v>
      </c>
      <c r="B1003">
        <v>12.6</v>
      </c>
      <c r="C1003">
        <v>16.100000000000001</v>
      </c>
      <c r="D1003">
        <v>31.1</v>
      </c>
      <c r="E1003">
        <v>94.2</v>
      </c>
      <c r="F1003">
        <v>1</v>
      </c>
    </row>
    <row r="1004" spans="1:6" x14ac:dyDescent="0.25">
      <c r="A1004">
        <v>0</v>
      </c>
      <c r="B1004">
        <v>13.2</v>
      </c>
      <c r="C1004">
        <v>22</v>
      </c>
      <c r="D1004">
        <v>30.7</v>
      </c>
      <c r="E1004">
        <v>89.7</v>
      </c>
      <c r="F1004">
        <v>0</v>
      </c>
    </row>
    <row r="1005" spans="1:6" x14ac:dyDescent="0.25">
      <c r="A1005">
        <v>1</v>
      </c>
      <c r="B1005">
        <v>13.4</v>
      </c>
      <c r="C1005">
        <v>28.6</v>
      </c>
      <c r="D1005">
        <v>32</v>
      </c>
      <c r="E1005">
        <v>94</v>
      </c>
      <c r="F1005">
        <v>1</v>
      </c>
    </row>
    <row r="1006" spans="1:6" x14ac:dyDescent="0.25">
      <c r="A1006">
        <v>1</v>
      </c>
      <c r="B1006">
        <v>11.5</v>
      </c>
      <c r="C1006">
        <v>25.7</v>
      </c>
      <c r="D1006">
        <v>30.4</v>
      </c>
      <c r="E1006">
        <v>70.2</v>
      </c>
      <c r="F1006">
        <v>1</v>
      </c>
    </row>
    <row r="1007" spans="1:6" x14ac:dyDescent="0.25">
      <c r="A1007">
        <v>0</v>
      </c>
      <c r="B1007">
        <v>15.9</v>
      </c>
      <c r="C1007">
        <v>19.7</v>
      </c>
      <c r="D1007">
        <v>30.9</v>
      </c>
      <c r="E1007">
        <v>101.4</v>
      </c>
      <c r="F1007">
        <v>0</v>
      </c>
    </row>
    <row r="1008" spans="1:6" x14ac:dyDescent="0.25">
      <c r="A1008">
        <v>0</v>
      </c>
      <c r="B1008">
        <v>11.5</v>
      </c>
      <c r="C1008">
        <v>22.7</v>
      </c>
      <c r="D1008">
        <v>30.6</v>
      </c>
      <c r="E1008">
        <v>87.3</v>
      </c>
      <c r="F1008">
        <v>1</v>
      </c>
    </row>
    <row r="1009" spans="1:6" x14ac:dyDescent="0.25">
      <c r="A1009">
        <v>0</v>
      </c>
      <c r="B1009">
        <v>10.7</v>
      </c>
      <c r="C1009">
        <v>26.8</v>
      </c>
      <c r="D1009">
        <v>32.200000000000003</v>
      </c>
      <c r="E1009">
        <v>86.6</v>
      </c>
      <c r="F1009">
        <v>1</v>
      </c>
    </row>
    <row r="1010" spans="1:6" x14ac:dyDescent="0.25">
      <c r="A1010">
        <v>0</v>
      </c>
      <c r="B1010">
        <v>14.7</v>
      </c>
      <c r="C1010">
        <v>24.8</v>
      </c>
      <c r="D1010">
        <v>29.4</v>
      </c>
      <c r="E1010">
        <v>82.4</v>
      </c>
      <c r="F1010">
        <v>0</v>
      </c>
    </row>
    <row r="1011" spans="1:6" x14ac:dyDescent="0.25">
      <c r="A1011">
        <v>0</v>
      </c>
      <c r="B1011">
        <v>16.7</v>
      </c>
      <c r="C1011">
        <v>28.8</v>
      </c>
      <c r="D1011">
        <v>28.1</v>
      </c>
      <c r="E1011">
        <v>92</v>
      </c>
      <c r="F1011">
        <v>0</v>
      </c>
    </row>
    <row r="1012" spans="1:6" x14ac:dyDescent="0.25">
      <c r="A1012">
        <v>0</v>
      </c>
      <c r="B1012">
        <v>14.2</v>
      </c>
      <c r="C1012">
        <v>26.3</v>
      </c>
      <c r="D1012">
        <v>28.8</v>
      </c>
      <c r="E1012">
        <v>97.9</v>
      </c>
      <c r="F1012">
        <v>0</v>
      </c>
    </row>
    <row r="1013" spans="1:6" x14ac:dyDescent="0.25">
      <c r="A1013">
        <v>1</v>
      </c>
      <c r="B1013">
        <v>11.1</v>
      </c>
      <c r="C1013">
        <v>17.5</v>
      </c>
      <c r="D1013">
        <v>31.3</v>
      </c>
      <c r="E1013">
        <v>95.4</v>
      </c>
      <c r="F1013">
        <v>1</v>
      </c>
    </row>
    <row r="1014" spans="1:6" x14ac:dyDescent="0.25">
      <c r="A1014">
        <v>0</v>
      </c>
      <c r="B1014">
        <v>13.2</v>
      </c>
      <c r="C1014">
        <v>23.8</v>
      </c>
      <c r="D1014">
        <v>28</v>
      </c>
      <c r="E1014">
        <v>89.9</v>
      </c>
      <c r="F1014">
        <v>0</v>
      </c>
    </row>
    <row r="1015" spans="1:6" x14ac:dyDescent="0.25">
      <c r="A1015">
        <v>0</v>
      </c>
      <c r="B1015">
        <v>11.3</v>
      </c>
      <c r="C1015">
        <v>28.9</v>
      </c>
      <c r="D1015">
        <v>30.5</v>
      </c>
      <c r="E1015">
        <v>79.7</v>
      </c>
      <c r="F1015">
        <v>1</v>
      </c>
    </row>
    <row r="1016" spans="1:6" x14ac:dyDescent="0.25">
      <c r="A1016">
        <v>0</v>
      </c>
      <c r="B1016">
        <v>14.8</v>
      </c>
      <c r="C1016">
        <v>19.600000000000001</v>
      </c>
      <c r="D1016">
        <v>29</v>
      </c>
      <c r="E1016">
        <v>87.4</v>
      </c>
      <c r="F1016">
        <v>0</v>
      </c>
    </row>
    <row r="1017" spans="1:6" x14ac:dyDescent="0.25">
      <c r="A1017">
        <v>1</v>
      </c>
      <c r="B1017">
        <v>16</v>
      </c>
      <c r="C1017">
        <v>19.7</v>
      </c>
      <c r="D1017">
        <v>30.2</v>
      </c>
      <c r="E1017">
        <v>90.9</v>
      </c>
      <c r="F1017">
        <v>0</v>
      </c>
    </row>
    <row r="1018" spans="1:6" x14ac:dyDescent="0.25">
      <c r="A1018">
        <v>0</v>
      </c>
      <c r="B1018">
        <v>16.5</v>
      </c>
      <c r="C1018">
        <v>20.2</v>
      </c>
      <c r="D1018">
        <v>28</v>
      </c>
      <c r="E1018">
        <v>82.5</v>
      </c>
      <c r="F1018">
        <v>0</v>
      </c>
    </row>
    <row r="1019" spans="1:6" x14ac:dyDescent="0.25">
      <c r="A1019">
        <v>1</v>
      </c>
      <c r="B1019">
        <v>13.4</v>
      </c>
      <c r="C1019">
        <v>22.4</v>
      </c>
      <c r="D1019">
        <v>28.3</v>
      </c>
      <c r="E1019">
        <v>83.3</v>
      </c>
      <c r="F1019">
        <v>1</v>
      </c>
    </row>
    <row r="1020" spans="1:6" x14ac:dyDescent="0.25">
      <c r="A1020">
        <v>0</v>
      </c>
      <c r="B1020">
        <v>15.7</v>
      </c>
      <c r="C1020">
        <v>19.100000000000001</v>
      </c>
      <c r="D1020">
        <v>28.9</v>
      </c>
      <c r="E1020">
        <v>99.5</v>
      </c>
      <c r="F1020">
        <v>0</v>
      </c>
    </row>
    <row r="1021" spans="1:6" x14ac:dyDescent="0.25">
      <c r="A1021">
        <v>0</v>
      </c>
      <c r="B1021">
        <v>14.7</v>
      </c>
      <c r="C1021">
        <v>28.8</v>
      </c>
      <c r="D1021">
        <v>31.7</v>
      </c>
      <c r="E1021">
        <v>93.6</v>
      </c>
      <c r="F1021">
        <v>0</v>
      </c>
    </row>
    <row r="1022" spans="1:6" x14ac:dyDescent="0.25">
      <c r="A1022">
        <v>1</v>
      </c>
      <c r="B1022">
        <v>16</v>
      </c>
      <c r="C1022">
        <v>20.100000000000001</v>
      </c>
      <c r="D1022">
        <v>31.1</v>
      </c>
      <c r="E1022">
        <v>95.5</v>
      </c>
      <c r="F1022">
        <v>0</v>
      </c>
    </row>
    <row r="1023" spans="1:6" x14ac:dyDescent="0.25">
      <c r="A1023">
        <v>1</v>
      </c>
      <c r="B1023">
        <v>10.3</v>
      </c>
      <c r="C1023">
        <v>26.1</v>
      </c>
      <c r="D1023">
        <v>32.200000000000003</v>
      </c>
      <c r="E1023">
        <v>96.7</v>
      </c>
      <c r="F1023">
        <v>1</v>
      </c>
    </row>
    <row r="1024" spans="1:6" x14ac:dyDescent="0.25">
      <c r="A1024">
        <v>0</v>
      </c>
      <c r="B1024">
        <v>11.3</v>
      </c>
      <c r="C1024">
        <v>18.2</v>
      </c>
      <c r="D1024">
        <v>30.7</v>
      </c>
      <c r="E1024">
        <v>98</v>
      </c>
      <c r="F1024">
        <v>1</v>
      </c>
    </row>
    <row r="1025" spans="1:6" x14ac:dyDescent="0.25">
      <c r="A1025">
        <v>1</v>
      </c>
      <c r="B1025">
        <v>13.7</v>
      </c>
      <c r="C1025">
        <v>28.6</v>
      </c>
      <c r="D1025">
        <v>32.200000000000003</v>
      </c>
      <c r="E1025">
        <v>82.2</v>
      </c>
      <c r="F1025">
        <v>0</v>
      </c>
    </row>
    <row r="1026" spans="1:6" x14ac:dyDescent="0.25">
      <c r="A1026">
        <v>0</v>
      </c>
      <c r="B1026">
        <v>10.7</v>
      </c>
      <c r="C1026">
        <v>18.100000000000001</v>
      </c>
      <c r="D1026">
        <v>31.5</v>
      </c>
      <c r="E1026">
        <v>97.1</v>
      </c>
      <c r="F1026">
        <v>1</v>
      </c>
    </row>
    <row r="1027" spans="1:6" x14ac:dyDescent="0.25">
      <c r="A1027">
        <v>0</v>
      </c>
      <c r="B1027">
        <v>11.3</v>
      </c>
      <c r="C1027">
        <v>18.600000000000001</v>
      </c>
      <c r="D1027">
        <v>29.5</v>
      </c>
      <c r="E1027">
        <v>99.6</v>
      </c>
      <c r="F1027">
        <v>1</v>
      </c>
    </row>
    <row r="1028" spans="1:6" x14ac:dyDescent="0.25">
      <c r="A1028">
        <v>0</v>
      </c>
      <c r="B1028">
        <v>14.7</v>
      </c>
      <c r="C1028">
        <v>18.3</v>
      </c>
      <c r="D1028">
        <v>29.3</v>
      </c>
      <c r="E1028">
        <v>75.8</v>
      </c>
      <c r="F1028">
        <v>0</v>
      </c>
    </row>
    <row r="1029" spans="1:6" x14ac:dyDescent="0.25">
      <c r="A1029">
        <v>1</v>
      </c>
      <c r="B1029">
        <v>11.2</v>
      </c>
      <c r="C1029">
        <v>27.7</v>
      </c>
      <c r="D1029">
        <v>32</v>
      </c>
      <c r="E1029">
        <v>70.400000000000006</v>
      </c>
      <c r="F1029">
        <v>1</v>
      </c>
    </row>
    <row r="1030" spans="1:6" x14ac:dyDescent="0.25">
      <c r="A1030">
        <v>1</v>
      </c>
      <c r="B1030">
        <v>12.5</v>
      </c>
      <c r="C1030">
        <v>25.5</v>
      </c>
      <c r="D1030">
        <v>32</v>
      </c>
      <c r="E1030">
        <v>72.099999999999994</v>
      </c>
      <c r="F1030">
        <v>1</v>
      </c>
    </row>
    <row r="1031" spans="1:6" x14ac:dyDescent="0.25">
      <c r="A1031">
        <v>0</v>
      </c>
      <c r="B1031">
        <v>15.4</v>
      </c>
      <c r="C1031">
        <v>16.899999999999999</v>
      </c>
      <c r="D1031">
        <v>28</v>
      </c>
      <c r="E1031">
        <v>94.9</v>
      </c>
      <c r="F1031">
        <v>0</v>
      </c>
    </row>
    <row r="1032" spans="1:6" x14ac:dyDescent="0.25">
      <c r="A1032">
        <v>0</v>
      </c>
      <c r="B1032">
        <v>15</v>
      </c>
      <c r="C1032">
        <v>27.5</v>
      </c>
      <c r="D1032">
        <v>28.5</v>
      </c>
      <c r="E1032">
        <v>80.3</v>
      </c>
      <c r="F1032">
        <v>0</v>
      </c>
    </row>
    <row r="1033" spans="1:6" x14ac:dyDescent="0.25">
      <c r="A1033">
        <v>0</v>
      </c>
      <c r="B1033">
        <v>15.6</v>
      </c>
      <c r="C1033">
        <v>25.7</v>
      </c>
      <c r="D1033">
        <v>31.9</v>
      </c>
      <c r="E1033">
        <v>74.2</v>
      </c>
      <c r="F1033">
        <v>0</v>
      </c>
    </row>
    <row r="1034" spans="1:6" x14ac:dyDescent="0.25">
      <c r="A1034">
        <v>1</v>
      </c>
      <c r="B1034">
        <v>15.4</v>
      </c>
      <c r="C1034">
        <v>24.5</v>
      </c>
      <c r="D1034">
        <v>28.9</v>
      </c>
      <c r="E1034">
        <v>73.599999999999994</v>
      </c>
      <c r="F1034">
        <v>0</v>
      </c>
    </row>
    <row r="1035" spans="1:6" x14ac:dyDescent="0.25">
      <c r="A1035">
        <v>1</v>
      </c>
      <c r="B1035">
        <v>13</v>
      </c>
      <c r="C1035">
        <v>28.5</v>
      </c>
      <c r="D1035">
        <v>30.8</v>
      </c>
      <c r="E1035">
        <v>98.2</v>
      </c>
      <c r="F1035">
        <v>1</v>
      </c>
    </row>
    <row r="1036" spans="1:6" x14ac:dyDescent="0.25">
      <c r="A1036">
        <v>0</v>
      </c>
      <c r="B1036">
        <v>15.8</v>
      </c>
      <c r="C1036">
        <v>25.7</v>
      </c>
      <c r="D1036">
        <v>29.7</v>
      </c>
      <c r="E1036">
        <v>85.6</v>
      </c>
      <c r="F1036">
        <v>0</v>
      </c>
    </row>
    <row r="1037" spans="1:6" x14ac:dyDescent="0.25">
      <c r="A1037">
        <v>1</v>
      </c>
      <c r="B1037">
        <v>12.2</v>
      </c>
      <c r="C1037">
        <v>24.3</v>
      </c>
      <c r="D1037">
        <v>31.4</v>
      </c>
      <c r="E1037">
        <v>101.5</v>
      </c>
      <c r="F1037">
        <v>1</v>
      </c>
    </row>
    <row r="1038" spans="1:6" x14ac:dyDescent="0.25">
      <c r="A1038">
        <v>0</v>
      </c>
      <c r="B1038">
        <v>10.9</v>
      </c>
      <c r="C1038">
        <v>26.4</v>
      </c>
      <c r="D1038">
        <v>30.4</v>
      </c>
      <c r="E1038">
        <v>89.7</v>
      </c>
      <c r="F1038">
        <v>1</v>
      </c>
    </row>
    <row r="1039" spans="1:6" x14ac:dyDescent="0.25">
      <c r="A1039">
        <v>0</v>
      </c>
      <c r="B1039">
        <v>12.9</v>
      </c>
      <c r="C1039">
        <v>17.3</v>
      </c>
      <c r="D1039">
        <v>28.3</v>
      </c>
      <c r="E1039">
        <v>81.7</v>
      </c>
      <c r="F1039">
        <v>0</v>
      </c>
    </row>
    <row r="1040" spans="1:6" x14ac:dyDescent="0.25">
      <c r="A1040">
        <v>0</v>
      </c>
      <c r="B1040">
        <v>12.4</v>
      </c>
      <c r="C1040">
        <v>25.6</v>
      </c>
      <c r="D1040">
        <v>29.6</v>
      </c>
      <c r="E1040">
        <v>89.9</v>
      </c>
      <c r="F1040">
        <v>0</v>
      </c>
    </row>
    <row r="1041" spans="1:6" x14ac:dyDescent="0.25">
      <c r="A1041">
        <v>0</v>
      </c>
      <c r="B1041">
        <v>10.6</v>
      </c>
      <c r="C1041">
        <v>16</v>
      </c>
      <c r="D1041">
        <v>32.200000000000003</v>
      </c>
      <c r="E1041">
        <v>96.8</v>
      </c>
      <c r="F1041">
        <v>1</v>
      </c>
    </row>
    <row r="1042" spans="1:6" x14ac:dyDescent="0.25">
      <c r="A1042">
        <v>0</v>
      </c>
      <c r="B1042">
        <v>14.9</v>
      </c>
      <c r="C1042">
        <v>17.600000000000001</v>
      </c>
      <c r="D1042">
        <v>31.1</v>
      </c>
      <c r="E1042">
        <v>86.5</v>
      </c>
      <c r="F1042">
        <v>0</v>
      </c>
    </row>
    <row r="1043" spans="1:6" x14ac:dyDescent="0.25">
      <c r="A1043">
        <v>0</v>
      </c>
      <c r="B1043">
        <v>14</v>
      </c>
      <c r="C1043">
        <v>20.3</v>
      </c>
      <c r="D1043">
        <v>32.1</v>
      </c>
      <c r="E1043">
        <v>74</v>
      </c>
      <c r="F1043">
        <v>0</v>
      </c>
    </row>
    <row r="1044" spans="1:6" x14ac:dyDescent="0.25">
      <c r="A1044">
        <v>0</v>
      </c>
      <c r="B1044">
        <v>12.1</v>
      </c>
      <c r="C1044">
        <v>26.3</v>
      </c>
      <c r="D1044">
        <v>29.8</v>
      </c>
      <c r="E1044">
        <v>84.9</v>
      </c>
      <c r="F1044">
        <v>0</v>
      </c>
    </row>
    <row r="1045" spans="1:6" x14ac:dyDescent="0.25">
      <c r="A1045">
        <v>0</v>
      </c>
      <c r="B1045">
        <v>13.5</v>
      </c>
      <c r="C1045">
        <v>22.3</v>
      </c>
      <c r="D1045">
        <v>29.9</v>
      </c>
      <c r="E1045">
        <v>86.3</v>
      </c>
      <c r="F1045">
        <v>0</v>
      </c>
    </row>
    <row r="1046" spans="1:6" x14ac:dyDescent="0.25">
      <c r="A1046">
        <v>1</v>
      </c>
      <c r="B1046">
        <v>15.1</v>
      </c>
      <c r="C1046">
        <v>17.100000000000001</v>
      </c>
      <c r="D1046">
        <v>28.2</v>
      </c>
      <c r="E1046">
        <v>86.8</v>
      </c>
      <c r="F1046">
        <v>0</v>
      </c>
    </row>
    <row r="1047" spans="1:6" x14ac:dyDescent="0.25">
      <c r="A1047">
        <v>0</v>
      </c>
      <c r="B1047">
        <v>11.9</v>
      </c>
      <c r="C1047">
        <v>23.7</v>
      </c>
      <c r="D1047">
        <v>29.9</v>
      </c>
      <c r="E1047">
        <v>69.900000000000006</v>
      </c>
      <c r="F1047">
        <v>1</v>
      </c>
    </row>
    <row r="1048" spans="1:6" x14ac:dyDescent="0.25">
      <c r="A1048">
        <v>0</v>
      </c>
      <c r="B1048">
        <v>14.7</v>
      </c>
      <c r="C1048">
        <v>23.4</v>
      </c>
      <c r="D1048">
        <v>29</v>
      </c>
      <c r="E1048">
        <v>99.6</v>
      </c>
      <c r="F1048">
        <v>0</v>
      </c>
    </row>
    <row r="1049" spans="1:6" x14ac:dyDescent="0.25">
      <c r="A1049">
        <v>0</v>
      </c>
      <c r="B1049">
        <v>13.1</v>
      </c>
      <c r="C1049">
        <v>21.8</v>
      </c>
      <c r="D1049">
        <v>30.8</v>
      </c>
      <c r="E1049">
        <v>90.4</v>
      </c>
      <c r="F1049">
        <v>0</v>
      </c>
    </row>
    <row r="1050" spans="1:6" x14ac:dyDescent="0.25">
      <c r="A1050">
        <v>0</v>
      </c>
      <c r="B1050">
        <v>11.1</v>
      </c>
      <c r="C1050">
        <v>20.399999999999999</v>
      </c>
      <c r="D1050">
        <v>30.9</v>
      </c>
      <c r="E1050">
        <v>101.6</v>
      </c>
      <c r="F1050">
        <v>1</v>
      </c>
    </row>
    <row r="1051" spans="1:6" x14ac:dyDescent="0.25">
      <c r="A1051">
        <v>0</v>
      </c>
      <c r="B1051">
        <v>13.5</v>
      </c>
      <c r="C1051">
        <v>19.5</v>
      </c>
      <c r="D1051">
        <v>32.299999999999997</v>
      </c>
      <c r="E1051">
        <v>80.400000000000006</v>
      </c>
      <c r="F1051">
        <v>0</v>
      </c>
    </row>
    <row r="1052" spans="1:6" x14ac:dyDescent="0.25">
      <c r="A1052">
        <v>1</v>
      </c>
      <c r="B1052">
        <v>12</v>
      </c>
      <c r="C1052">
        <v>28.1</v>
      </c>
      <c r="D1052">
        <v>30.9</v>
      </c>
      <c r="E1052">
        <v>77.900000000000006</v>
      </c>
      <c r="F1052">
        <v>1</v>
      </c>
    </row>
    <row r="1053" spans="1:6" x14ac:dyDescent="0.25">
      <c r="A1053">
        <v>0</v>
      </c>
      <c r="B1053">
        <v>16.5</v>
      </c>
      <c r="C1053">
        <v>28</v>
      </c>
      <c r="D1053">
        <v>32.200000000000003</v>
      </c>
      <c r="E1053">
        <v>99.3</v>
      </c>
      <c r="F1053">
        <v>0</v>
      </c>
    </row>
    <row r="1054" spans="1:6" x14ac:dyDescent="0.25">
      <c r="A1054">
        <v>0</v>
      </c>
      <c r="B1054">
        <v>15.2</v>
      </c>
      <c r="C1054">
        <v>21.9</v>
      </c>
      <c r="D1054">
        <v>29.6</v>
      </c>
      <c r="E1054">
        <v>69.5</v>
      </c>
      <c r="F1054">
        <v>0</v>
      </c>
    </row>
    <row r="1055" spans="1:6" x14ac:dyDescent="0.25">
      <c r="A1055">
        <v>1</v>
      </c>
      <c r="B1055">
        <v>13.4</v>
      </c>
      <c r="C1055">
        <v>17.7</v>
      </c>
      <c r="D1055">
        <v>31.6</v>
      </c>
      <c r="E1055">
        <v>97.2</v>
      </c>
      <c r="F1055">
        <v>1</v>
      </c>
    </row>
    <row r="1056" spans="1:6" x14ac:dyDescent="0.25">
      <c r="A1056">
        <v>1</v>
      </c>
      <c r="B1056">
        <v>15.9</v>
      </c>
      <c r="C1056">
        <v>22.4</v>
      </c>
      <c r="D1056">
        <v>28.9</v>
      </c>
      <c r="E1056">
        <v>93</v>
      </c>
      <c r="F1056">
        <v>0</v>
      </c>
    </row>
    <row r="1057" spans="1:6" x14ac:dyDescent="0.25">
      <c r="A1057">
        <v>1</v>
      </c>
      <c r="B1057">
        <v>12.1</v>
      </c>
      <c r="C1057">
        <v>25.9</v>
      </c>
      <c r="D1057">
        <v>29.3</v>
      </c>
      <c r="E1057">
        <v>82.6</v>
      </c>
      <c r="F1057">
        <v>1</v>
      </c>
    </row>
    <row r="1058" spans="1:6" x14ac:dyDescent="0.25">
      <c r="A1058">
        <v>0</v>
      </c>
      <c r="B1058">
        <v>14.5</v>
      </c>
      <c r="C1058">
        <v>24.2</v>
      </c>
      <c r="D1058">
        <v>27.9</v>
      </c>
      <c r="E1058">
        <v>71.7</v>
      </c>
      <c r="F1058">
        <v>0</v>
      </c>
    </row>
    <row r="1059" spans="1:6" x14ac:dyDescent="0.25">
      <c r="A1059">
        <v>0</v>
      </c>
      <c r="B1059">
        <v>13.4</v>
      </c>
      <c r="C1059">
        <v>25.3</v>
      </c>
      <c r="D1059">
        <v>28.6</v>
      </c>
      <c r="E1059">
        <v>83.8</v>
      </c>
      <c r="F1059">
        <v>0</v>
      </c>
    </row>
    <row r="1060" spans="1:6" x14ac:dyDescent="0.25">
      <c r="A1060">
        <v>1</v>
      </c>
      <c r="B1060">
        <v>16.399999999999999</v>
      </c>
      <c r="C1060">
        <v>27.4</v>
      </c>
      <c r="D1060">
        <v>31.9</v>
      </c>
      <c r="E1060">
        <v>100.2</v>
      </c>
      <c r="F1060">
        <v>0</v>
      </c>
    </row>
    <row r="1061" spans="1:6" x14ac:dyDescent="0.25">
      <c r="A1061">
        <v>1</v>
      </c>
      <c r="B1061">
        <v>14.6</v>
      </c>
      <c r="C1061">
        <v>24.1</v>
      </c>
      <c r="D1061">
        <v>30.7</v>
      </c>
      <c r="E1061">
        <v>98.1</v>
      </c>
      <c r="F1061">
        <v>0</v>
      </c>
    </row>
    <row r="1062" spans="1:6" x14ac:dyDescent="0.25">
      <c r="A1062">
        <v>1</v>
      </c>
      <c r="B1062">
        <v>13.8</v>
      </c>
      <c r="C1062">
        <v>21.4</v>
      </c>
      <c r="D1062">
        <v>29.9</v>
      </c>
      <c r="E1062">
        <v>88.4</v>
      </c>
      <c r="F1062">
        <v>0</v>
      </c>
    </row>
    <row r="1063" spans="1:6" x14ac:dyDescent="0.25">
      <c r="A1063">
        <v>1</v>
      </c>
      <c r="B1063">
        <v>12.6</v>
      </c>
      <c r="C1063">
        <v>16.5</v>
      </c>
      <c r="D1063">
        <v>30.4</v>
      </c>
      <c r="E1063">
        <v>77</v>
      </c>
      <c r="F1063">
        <v>1</v>
      </c>
    </row>
    <row r="1064" spans="1:6" x14ac:dyDescent="0.25">
      <c r="A1064">
        <v>0</v>
      </c>
      <c r="B1064">
        <v>11.5</v>
      </c>
      <c r="C1064">
        <v>22</v>
      </c>
      <c r="D1064">
        <v>32.4</v>
      </c>
      <c r="E1064">
        <v>84.2</v>
      </c>
      <c r="F1064">
        <v>1</v>
      </c>
    </row>
    <row r="1065" spans="1:6" x14ac:dyDescent="0.25">
      <c r="A1065">
        <v>1</v>
      </c>
      <c r="B1065">
        <v>12.5</v>
      </c>
      <c r="C1065">
        <v>20.100000000000001</v>
      </c>
      <c r="D1065">
        <v>27.8</v>
      </c>
      <c r="E1065">
        <v>89.2</v>
      </c>
      <c r="F1065">
        <v>1</v>
      </c>
    </row>
    <row r="1066" spans="1:6" x14ac:dyDescent="0.25">
      <c r="A1066">
        <v>1</v>
      </c>
      <c r="B1066">
        <v>16.600000000000001</v>
      </c>
      <c r="C1066">
        <v>22</v>
      </c>
      <c r="D1066">
        <v>29.5</v>
      </c>
      <c r="E1066">
        <v>71</v>
      </c>
      <c r="F1066">
        <v>0</v>
      </c>
    </row>
    <row r="1067" spans="1:6" x14ac:dyDescent="0.25">
      <c r="A1067">
        <v>1</v>
      </c>
      <c r="B1067">
        <v>12.7</v>
      </c>
      <c r="C1067">
        <v>21.1</v>
      </c>
      <c r="D1067">
        <v>32.200000000000003</v>
      </c>
      <c r="E1067">
        <v>94.2</v>
      </c>
      <c r="F1067">
        <v>1</v>
      </c>
    </row>
    <row r="1068" spans="1:6" x14ac:dyDescent="0.25">
      <c r="A1068">
        <v>0</v>
      </c>
      <c r="B1068">
        <v>16.8</v>
      </c>
      <c r="C1068">
        <v>27.4</v>
      </c>
      <c r="D1068">
        <v>32.4</v>
      </c>
      <c r="E1068">
        <v>97.7</v>
      </c>
      <c r="F1068">
        <v>0</v>
      </c>
    </row>
    <row r="1069" spans="1:6" x14ac:dyDescent="0.25">
      <c r="A1069">
        <v>1</v>
      </c>
      <c r="B1069">
        <v>14.3</v>
      </c>
      <c r="C1069">
        <v>21.4</v>
      </c>
      <c r="D1069">
        <v>31.2</v>
      </c>
      <c r="E1069">
        <v>88.5</v>
      </c>
      <c r="F1069">
        <v>0</v>
      </c>
    </row>
    <row r="1070" spans="1:6" x14ac:dyDescent="0.25">
      <c r="A1070">
        <v>0</v>
      </c>
      <c r="B1070">
        <v>10.8</v>
      </c>
      <c r="C1070">
        <v>19</v>
      </c>
      <c r="D1070">
        <v>32.200000000000003</v>
      </c>
      <c r="E1070">
        <v>101.6</v>
      </c>
      <c r="F1070">
        <v>1</v>
      </c>
    </row>
    <row r="1071" spans="1:6" x14ac:dyDescent="0.25">
      <c r="A1071">
        <v>0</v>
      </c>
      <c r="B1071">
        <v>12.6</v>
      </c>
      <c r="C1071">
        <v>16.5</v>
      </c>
      <c r="D1071">
        <v>28.9</v>
      </c>
      <c r="E1071">
        <v>97.5</v>
      </c>
      <c r="F1071">
        <v>0</v>
      </c>
    </row>
    <row r="1072" spans="1:6" x14ac:dyDescent="0.25">
      <c r="A1072">
        <v>0</v>
      </c>
      <c r="B1072">
        <v>16.8</v>
      </c>
      <c r="C1072">
        <v>27.3</v>
      </c>
      <c r="D1072">
        <v>28.9</v>
      </c>
      <c r="E1072">
        <v>70.8</v>
      </c>
      <c r="F1072">
        <v>0</v>
      </c>
    </row>
    <row r="1073" spans="1:6" x14ac:dyDescent="0.25">
      <c r="A1073">
        <v>1</v>
      </c>
      <c r="B1073">
        <v>10.7</v>
      </c>
      <c r="C1073">
        <v>24.7</v>
      </c>
      <c r="D1073">
        <v>29.1</v>
      </c>
      <c r="E1073">
        <v>78.7</v>
      </c>
      <c r="F1073">
        <v>1</v>
      </c>
    </row>
    <row r="1074" spans="1:6" x14ac:dyDescent="0.25">
      <c r="A1074">
        <v>1</v>
      </c>
      <c r="B1074">
        <v>15.9</v>
      </c>
      <c r="C1074">
        <v>18.2</v>
      </c>
      <c r="D1074">
        <v>30.3</v>
      </c>
      <c r="E1074">
        <v>82.7</v>
      </c>
      <c r="F1074">
        <v>0</v>
      </c>
    </row>
    <row r="1075" spans="1:6" x14ac:dyDescent="0.25">
      <c r="A1075">
        <v>0</v>
      </c>
      <c r="B1075">
        <v>10.7</v>
      </c>
      <c r="C1075">
        <v>19.399999999999999</v>
      </c>
      <c r="D1075">
        <v>29.2</v>
      </c>
      <c r="E1075">
        <v>93.7</v>
      </c>
      <c r="F1075">
        <v>1</v>
      </c>
    </row>
    <row r="1076" spans="1:6" x14ac:dyDescent="0.25">
      <c r="A1076">
        <v>0</v>
      </c>
      <c r="B1076">
        <v>11.4</v>
      </c>
      <c r="C1076">
        <v>16.2</v>
      </c>
      <c r="D1076">
        <v>29.8</v>
      </c>
      <c r="E1076">
        <v>97</v>
      </c>
      <c r="F1076">
        <v>1</v>
      </c>
    </row>
    <row r="1077" spans="1:6" x14ac:dyDescent="0.25">
      <c r="A1077">
        <v>1</v>
      </c>
      <c r="B1077">
        <v>16.100000000000001</v>
      </c>
      <c r="C1077">
        <v>26.1</v>
      </c>
      <c r="D1077">
        <v>31.4</v>
      </c>
      <c r="E1077">
        <v>93.7</v>
      </c>
      <c r="F1077">
        <v>0</v>
      </c>
    </row>
    <row r="1078" spans="1:6" x14ac:dyDescent="0.25">
      <c r="A1078">
        <v>0</v>
      </c>
      <c r="B1078">
        <v>14.5</v>
      </c>
      <c r="C1078">
        <v>27.4</v>
      </c>
      <c r="D1078">
        <v>28.4</v>
      </c>
      <c r="E1078">
        <v>78.400000000000006</v>
      </c>
      <c r="F1078">
        <v>0</v>
      </c>
    </row>
    <row r="1079" spans="1:6" x14ac:dyDescent="0.25">
      <c r="A1079">
        <v>1</v>
      </c>
      <c r="B1079">
        <v>16.2</v>
      </c>
      <c r="C1079">
        <v>17.899999999999999</v>
      </c>
      <c r="D1079">
        <v>27.8</v>
      </c>
      <c r="E1079">
        <v>74.3</v>
      </c>
      <c r="F1079">
        <v>0</v>
      </c>
    </row>
    <row r="1080" spans="1:6" x14ac:dyDescent="0.25">
      <c r="A1080">
        <v>0</v>
      </c>
      <c r="B1080">
        <v>16.2</v>
      </c>
      <c r="C1080">
        <v>25.1</v>
      </c>
      <c r="D1080">
        <v>29.9</v>
      </c>
      <c r="E1080">
        <v>81.599999999999994</v>
      </c>
      <c r="F1080">
        <v>0</v>
      </c>
    </row>
    <row r="1081" spans="1:6" x14ac:dyDescent="0.25">
      <c r="A1081">
        <v>1</v>
      </c>
      <c r="B1081">
        <v>12.2</v>
      </c>
      <c r="C1081">
        <v>23.4</v>
      </c>
      <c r="D1081">
        <v>32</v>
      </c>
      <c r="E1081">
        <v>86</v>
      </c>
      <c r="F1081">
        <v>1</v>
      </c>
    </row>
    <row r="1082" spans="1:6" x14ac:dyDescent="0.25">
      <c r="A1082">
        <v>1</v>
      </c>
      <c r="B1082">
        <v>15</v>
      </c>
      <c r="C1082">
        <v>20.8</v>
      </c>
      <c r="D1082">
        <v>32.299999999999997</v>
      </c>
      <c r="E1082">
        <v>88.7</v>
      </c>
      <c r="F1082">
        <v>0</v>
      </c>
    </row>
    <row r="1083" spans="1:6" x14ac:dyDescent="0.25">
      <c r="A1083">
        <v>1</v>
      </c>
      <c r="B1083">
        <v>11.6</v>
      </c>
      <c r="C1083">
        <v>18</v>
      </c>
      <c r="D1083">
        <v>32.200000000000003</v>
      </c>
      <c r="E1083">
        <v>98.9</v>
      </c>
      <c r="F1083">
        <v>1</v>
      </c>
    </row>
    <row r="1084" spans="1:6" x14ac:dyDescent="0.25">
      <c r="A1084">
        <v>1</v>
      </c>
      <c r="B1084">
        <v>11.2</v>
      </c>
      <c r="C1084">
        <v>27.8</v>
      </c>
      <c r="D1084">
        <v>32.200000000000003</v>
      </c>
      <c r="E1084">
        <v>95.8</v>
      </c>
      <c r="F1084">
        <v>1</v>
      </c>
    </row>
    <row r="1085" spans="1:6" x14ac:dyDescent="0.25">
      <c r="A1085">
        <v>0</v>
      </c>
      <c r="B1085">
        <v>11.7</v>
      </c>
      <c r="C1085">
        <v>16.8</v>
      </c>
      <c r="D1085">
        <v>32.200000000000003</v>
      </c>
      <c r="E1085">
        <v>73.599999999999994</v>
      </c>
      <c r="F1085">
        <v>1</v>
      </c>
    </row>
    <row r="1086" spans="1:6" x14ac:dyDescent="0.25">
      <c r="A1086">
        <v>0</v>
      </c>
      <c r="B1086">
        <v>16.399999999999999</v>
      </c>
      <c r="C1086">
        <v>27.2</v>
      </c>
      <c r="D1086">
        <v>31.4</v>
      </c>
      <c r="E1086">
        <v>70.599999999999994</v>
      </c>
      <c r="F1086">
        <v>0</v>
      </c>
    </row>
    <row r="1087" spans="1:6" x14ac:dyDescent="0.25">
      <c r="A1087">
        <v>0</v>
      </c>
      <c r="B1087">
        <v>15.5</v>
      </c>
      <c r="C1087">
        <v>19.3</v>
      </c>
      <c r="D1087">
        <v>32.5</v>
      </c>
      <c r="E1087">
        <v>97.5</v>
      </c>
      <c r="F1087">
        <v>0</v>
      </c>
    </row>
    <row r="1088" spans="1:6" x14ac:dyDescent="0.25">
      <c r="A1088">
        <v>0</v>
      </c>
      <c r="B1088">
        <v>13.3</v>
      </c>
      <c r="C1088">
        <v>19.100000000000001</v>
      </c>
      <c r="D1088">
        <v>30.9</v>
      </c>
      <c r="E1088">
        <v>97.9</v>
      </c>
      <c r="F1088">
        <v>0</v>
      </c>
    </row>
    <row r="1089" spans="1:6" x14ac:dyDescent="0.25">
      <c r="A1089">
        <v>1</v>
      </c>
      <c r="B1089">
        <v>16.100000000000001</v>
      </c>
      <c r="C1089">
        <v>21.9</v>
      </c>
      <c r="D1089">
        <v>32.5</v>
      </c>
      <c r="E1089">
        <v>100.7</v>
      </c>
      <c r="F1089">
        <v>0</v>
      </c>
    </row>
    <row r="1090" spans="1:6" x14ac:dyDescent="0.25">
      <c r="A1090">
        <v>0</v>
      </c>
      <c r="B1090">
        <v>11.1</v>
      </c>
      <c r="C1090">
        <v>24.7</v>
      </c>
      <c r="D1090">
        <v>32.1</v>
      </c>
      <c r="E1090">
        <v>96.7</v>
      </c>
      <c r="F1090">
        <v>1</v>
      </c>
    </row>
    <row r="1091" spans="1:6" x14ac:dyDescent="0.25">
      <c r="A1091">
        <v>1</v>
      </c>
      <c r="B1091">
        <v>10.8</v>
      </c>
      <c r="C1091">
        <v>19.8</v>
      </c>
      <c r="D1091">
        <v>30.8</v>
      </c>
      <c r="E1091">
        <v>99.6</v>
      </c>
      <c r="F1091">
        <v>1</v>
      </c>
    </row>
    <row r="1092" spans="1:6" x14ac:dyDescent="0.25">
      <c r="A1092">
        <v>0</v>
      </c>
      <c r="B1092">
        <v>10.9</v>
      </c>
      <c r="C1092">
        <v>28.6</v>
      </c>
      <c r="D1092">
        <v>28.6</v>
      </c>
      <c r="E1092">
        <v>84.8</v>
      </c>
      <c r="F1092">
        <v>1</v>
      </c>
    </row>
    <row r="1093" spans="1:6" x14ac:dyDescent="0.25">
      <c r="A1093">
        <v>0</v>
      </c>
      <c r="B1093">
        <v>15.8</v>
      </c>
      <c r="C1093">
        <v>25.5</v>
      </c>
      <c r="D1093">
        <v>28.9</v>
      </c>
      <c r="E1093">
        <v>72.599999999999994</v>
      </c>
      <c r="F1093">
        <v>0</v>
      </c>
    </row>
    <row r="1094" spans="1:6" x14ac:dyDescent="0.25">
      <c r="A1094">
        <v>1</v>
      </c>
      <c r="B1094">
        <v>13.3</v>
      </c>
      <c r="C1094">
        <v>28.5</v>
      </c>
      <c r="D1094">
        <v>29</v>
      </c>
      <c r="E1094">
        <v>87.7</v>
      </c>
      <c r="F1094">
        <v>1</v>
      </c>
    </row>
    <row r="1095" spans="1:6" x14ac:dyDescent="0.25">
      <c r="A1095">
        <v>1</v>
      </c>
      <c r="B1095">
        <v>16.8</v>
      </c>
      <c r="C1095">
        <v>22.7</v>
      </c>
      <c r="D1095">
        <v>32</v>
      </c>
      <c r="E1095">
        <v>94.3</v>
      </c>
      <c r="F1095">
        <v>0</v>
      </c>
    </row>
    <row r="1096" spans="1:6" x14ac:dyDescent="0.25">
      <c r="A1096">
        <v>1</v>
      </c>
      <c r="B1096">
        <v>11.1</v>
      </c>
      <c r="C1096">
        <v>28</v>
      </c>
      <c r="D1096">
        <v>30.8</v>
      </c>
      <c r="E1096">
        <v>77.3</v>
      </c>
      <c r="F1096">
        <v>1</v>
      </c>
    </row>
    <row r="1097" spans="1:6" x14ac:dyDescent="0.25">
      <c r="A1097">
        <v>0</v>
      </c>
      <c r="B1097">
        <v>12.5</v>
      </c>
      <c r="C1097">
        <v>29.7</v>
      </c>
      <c r="D1097">
        <v>30.6</v>
      </c>
      <c r="E1097">
        <v>90.5</v>
      </c>
      <c r="F1097">
        <v>0</v>
      </c>
    </row>
    <row r="1098" spans="1:6" x14ac:dyDescent="0.25">
      <c r="A1098">
        <v>1</v>
      </c>
      <c r="B1098">
        <v>12.5</v>
      </c>
      <c r="C1098">
        <v>25.2</v>
      </c>
      <c r="D1098">
        <v>28.3</v>
      </c>
      <c r="E1098">
        <v>73.599999999999994</v>
      </c>
      <c r="F1098">
        <v>1</v>
      </c>
    </row>
    <row r="1099" spans="1:6" x14ac:dyDescent="0.25">
      <c r="A1099">
        <v>0</v>
      </c>
      <c r="B1099">
        <v>10.8</v>
      </c>
      <c r="C1099">
        <v>19.7</v>
      </c>
      <c r="D1099">
        <v>29.5</v>
      </c>
      <c r="E1099">
        <v>93</v>
      </c>
      <c r="F1099">
        <v>1</v>
      </c>
    </row>
    <row r="1100" spans="1:6" x14ac:dyDescent="0.25">
      <c r="A1100">
        <v>1</v>
      </c>
      <c r="B1100">
        <v>10.5</v>
      </c>
      <c r="C1100">
        <v>23</v>
      </c>
      <c r="D1100">
        <v>30.4</v>
      </c>
      <c r="E1100">
        <v>100.1</v>
      </c>
      <c r="F1100">
        <v>1</v>
      </c>
    </row>
    <row r="1101" spans="1:6" x14ac:dyDescent="0.25">
      <c r="A1101">
        <v>1</v>
      </c>
      <c r="B1101">
        <v>11.9</v>
      </c>
      <c r="C1101">
        <v>25.9</v>
      </c>
      <c r="D1101">
        <v>32</v>
      </c>
      <c r="E1101">
        <v>83.2</v>
      </c>
      <c r="F1101">
        <v>1</v>
      </c>
    </row>
    <row r="1102" spans="1:6" x14ac:dyDescent="0.25">
      <c r="A1102">
        <v>1</v>
      </c>
      <c r="B1102">
        <v>13.2</v>
      </c>
      <c r="C1102">
        <v>17.8</v>
      </c>
      <c r="D1102">
        <v>29.6</v>
      </c>
      <c r="E1102">
        <v>71.2</v>
      </c>
      <c r="F1102">
        <v>1</v>
      </c>
    </row>
    <row r="1103" spans="1:6" x14ac:dyDescent="0.25">
      <c r="A1103">
        <v>1</v>
      </c>
      <c r="B1103">
        <v>14.8</v>
      </c>
      <c r="C1103">
        <v>29.6</v>
      </c>
      <c r="D1103">
        <v>31.7</v>
      </c>
      <c r="E1103">
        <v>91.6</v>
      </c>
      <c r="F1103">
        <v>0</v>
      </c>
    </row>
    <row r="1104" spans="1:6" x14ac:dyDescent="0.25">
      <c r="A1104">
        <v>0</v>
      </c>
      <c r="B1104">
        <v>11.4</v>
      </c>
      <c r="C1104">
        <v>16.5</v>
      </c>
      <c r="D1104">
        <v>29.8</v>
      </c>
      <c r="E1104">
        <v>100.3</v>
      </c>
      <c r="F1104">
        <v>1</v>
      </c>
    </row>
    <row r="1105" spans="1:6" x14ac:dyDescent="0.25">
      <c r="A1105">
        <v>1</v>
      </c>
      <c r="B1105">
        <v>10.9</v>
      </c>
      <c r="C1105">
        <v>27.1</v>
      </c>
      <c r="D1105">
        <v>30</v>
      </c>
      <c r="E1105">
        <v>93.2</v>
      </c>
      <c r="F1105">
        <v>1</v>
      </c>
    </row>
    <row r="1106" spans="1:6" x14ac:dyDescent="0.25">
      <c r="A1106">
        <v>0</v>
      </c>
      <c r="B1106">
        <v>14.8</v>
      </c>
      <c r="C1106">
        <v>16.2</v>
      </c>
      <c r="D1106">
        <v>28.9</v>
      </c>
      <c r="E1106">
        <v>75.8</v>
      </c>
      <c r="F1106">
        <v>0</v>
      </c>
    </row>
    <row r="1107" spans="1:6" x14ac:dyDescent="0.25">
      <c r="A1107">
        <v>1</v>
      </c>
      <c r="B1107">
        <v>15.5</v>
      </c>
      <c r="C1107">
        <v>23.1</v>
      </c>
      <c r="D1107">
        <v>29.1</v>
      </c>
      <c r="E1107">
        <v>72.900000000000006</v>
      </c>
      <c r="F1107">
        <v>0</v>
      </c>
    </row>
    <row r="1108" spans="1:6" x14ac:dyDescent="0.25">
      <c r="A1108">
        <v>1</v>
      </c>
      <c r="B1108">
        <v>15.9</v>
      </c>
      <c r="C1108">
        <v>21.6</v>
      </c>
      <c r="D1108">
        <v>32.4</v>
      </c>
      <c r="E1108">
        <v>83.7</v>
      </c>
      <c r="F1108">
        <v>0</v>
      </c>
    </row>
    <row r="1109" spans="1:6" x14ac:dyDescent="0.25">
      <c r="A1109">
        <v>1</v>
      </c>
      <c r="B1109">
        <v>16.7</v>
      </c>
      <c r="C1109">
        <v>22.8</v>
      </c>
      <c r="D1109">
        <v>32.5</v>
      </c>
      <c r="E1109">
        <v>81.900000000000006</v>
      </c>
      <c r="F1109">
        <v>0</v>
      </c>
    </row>
    <row r="1110" spans="1:6" x14ac:dyDescent="0.25">
      <c r="A1110">
        <v>1</v>
      </c>
      <c r="B1110">
        <v>12.5</v>
      </c>
      <c r="C1110">
        <v>19.399999999999999</v>
      </c>
      <c r="D1110">
        <v>29.2</v>
      </c>
      <c r="E1110">
        <v>97.4</v>
      </c>
      <c r="F1110">
        <v>1</v>
      </c>
    </row>
    <row r="1111" spans="1:6" x14ac:dyDescent="0.25">
      <c r="A1111">
        <v>0</v>
      </c>
      <c r="B1111">
        <v>13.3</v>
      </c>
      <c r="C1111">
        <v>26.3</v>
      </c>
      <c r="D1111">
        <v>30</v>
      </c>
      <c r="E1111">
        <v>100</v>
      </c>
      <c r="F1111">
        <v>0</v>
      </c>
    </row>
    <row r="1112" spans="1:6" x14ac:dyDescent="0.25">
      <c r="A1112">
        <v>0</v>
      </c>
      <c r="B1112">
        <v>13.8</v>
      </c>
      <c r="C1112">
        <v>21</v>
      </c>
      <c r="D1112">
        <v>28.6</v>
      </c>
      <c r="E1112">
        <v>80.8</v>
      </c>
      <c r="F1112">
        <v>0</v>
      </c>
    </row>
    <row r="1113" spans="1:6" x14ac:dyDescent="0.25">
      <c r="A1113">
        <v>0</v>
      </c>
      <c r="B1113">
        <v>12.3</v>
      </c>
      <c r="C1113">
        <v>23</v>
      </c>
      <c r="D1113">
        <v>29.3</v>
      </c>
      <c r="E1113">
        <v>85.8</v>
      </c>
      <c r="F1113">
        <v>0</v>
      </c>
    </row>
    <row r="1114" spans="1:6" x14ac:dyDescent="0.25">
      <c r="A1114">
        <v>0</v>
      </c>
      <c r="B1114">
        <v>11.2</v>
      </c>
      <c r="C1114">
        <v>23.1</v>
      </c>
      <c r="D1114">
        <v>30.3</v>
      </c>
      <c r="E1114">
        <v>75.2</v>
      </c>
      <c r="F1114">
        <v>1</v>
      </c>
    </row>
    <row r="1115" spans="1:6" x14ac:dyDescent="0.25">
      <c r="A1115">
        <v>0</v>
      </c>
      <c r="B1115">
        <v>10.7</v>
      </c>
      <c r="C1115">
        <v>22.8</v>
      </c>
      <c r="D1115">
        <v>30.5</v>
      </c>
      <c r="E1115">
        <v>81.3</v>
      </c>
      <c r="F1115">
        <v>1</v>
      </c>
    </row>
    <row r="1116" spans="1:6" x14ac:dyDescent="0.25">
      <c r="A1116">
        <v>0</v>
      </c>
      <c r="B1116">
        <v>15</v>
      </c>
      <c r="C1116">
        <v>21.8</v>
      </c>
      <c r="D1116">
        <v>28.8</v>
      </c>
      <c r="E1116">
        <v>95.2</v>
      </c>
      <c r="F1116">
        <v>0</v>
      </c>
    </row>
    <row r="1117" spans="1:6" x14ac:dyDescent="0.25">
      <c r="A1117">
        <v>1</v>
      </c>
      <c r="B1117">
        <v>11.8</v>
      </c>
      <c r="C1117">
        <v>28.5</v>
      </c>
      <c r="D1117">
        <v>31.8</v>
      </c>
      <c r="E1117">
        <v>89.7</v>
      </c>
      <c r="F1117">
        <v>1</v>
      </c>
    </row>
    <row r="1118" spans="1:6" x14ac:dyDescent="0.25">
      <c r="A1118">
        <v>0</v>
      </c>
      <c r="B1118">
        <v>16.8</v>
      </c>
      <c r="C1118">
        <v>24.9</v>
      </c>
      <c r="D1118">
        <v>32</v>
      </c>
      <c r="E1118">
        <v>80.599999999999994</v>
      </c>
      <c r="F1118">
        <v>0</v>
      </c>
    </row>
    <row r="1119" spans="1:6" x14ac:dyDescent="0.25">
      <c r="A1119">
        <v>0</v>
      </c>
      <c r="B1119">
        <v>16.8</v>
      </c>
      <c r="C1119">
        <v>22.3</v>
      </c>
      <c r="D1119">
        <v>30.8</v>
      </c>
      <c r="E1119">
        <v>76.7</v>
      </c>
      <c r="F1119">
        <v>0</v>
      </c>
    </row>
    <row r="1120" spans="1:6" x14ac:dyDescent="0.25">
      <c r="A1120">
        <v>1</v>
      </c>
      <c r="B1120">
        <v>10.8</v>
      </c>
      <c r="C1120">
        <v>28</v>
      </c>
      <c r="D1120">
        <v>28.8</v>
      </c>
      <c r="E1120">
        <v>90.6</v>
      </c>
      <c r="F1120">
        <v>1</v>
      </c>
    </row>
    <row r="1121" spans="1:6" x14ac:dyDescent="0.25">
      <c r="A1121">
        <v>1</v>
      </c>
      <c r="B1121">
        <v>15.2</v>
      </c>
      <c r="C1121">
        <v>24.9</v>
      </c>
      <c r="D1121">
        <v>28.4</v>
      </c>
      <c r="E1121">
        <v>90.1</v>
      </c>
      <c r="F1121">
        <v>0</v>
      </c>
    </row>
    <row r="1122" spans="1:6" x14ac:dyDescent="0.25">
      <c r="A1122">
        <v>1</v>
      </c>
      <c r="B1122">
        <v>11.4</v>
      </c>
      <c r="C1122">
        <v>29.3</v>
      </c>
      <c r="D1122">
        <v>28.7</v>
      </c>
      <c r="E1122">
        <v>95.8</v>
      </c>
      <c r="F1122">
        <v>1</v>
      </c>
    </row>
    <row r="1123" spans="1:6" x14ac:dyDescent="0.25">
      <c r="A1123">
        <v>1</v>
      </c>
      <c r="B1123">
        <v>16.100000000000001</v>
      </c>
      <c r="C1123">
        <v>25.9</v>
      </c>
      <c r="D1123">
        <v>31.7</v>
      </c>
      <c r="E1123">
        <v>78</v>
      </c>
      <c r="F1123">
        <v>0</v>
      </c>
    </row>
    <row r="1124" spans="1:6" x14ac:dyDescent="0.25">
      <c r="A1124">
        <v>1</v>
      </c>
      <c r="B1124">
        <v>10.8</v>
      </c>
      <c r="C1124">
        <v>17.5</v>
      </c>
      <c r="D1124">
        <v>29.3</v>
      </c>
      <c r="E1124">
        <v>95.8</v>
      </c>
      <c r="F1124">
        <v>1</v>
      </c>
    </row>
    <row r="1125" spans="1:6" x14ac:dyDescent="0.25">
      <c r="A1125">
        <v>0</v>
      </c>
      <c r="B1125">
        <v>10.6</v>
      </c>
      <c r="C1125">
        <v>28</v>
      </c>
      <c r="D1125">
        <v>30.7</v>
      </c>
      <c r="E1125">
        <v>90.9</v>
      </c>
      <c r="F1125">
        <v>1</v>
      </c>
    </row>
    <row r="1126" spans="1:6" x14ac:dyDescent="0.25">
      <c r="A1126">
        <v>1</v>
      </c>
      <c r="B1126">
        <v>12.6</v>
      </c>
      <c r="C1126">
        <v>19.100000000000001</v>
      </c>
      <c r="D1126">
        <v>31.5</v>
      </c>
      <c r="E1126">
        <v>85.9</v>
      </c>
      <c r="F1126">
        <v>1</v>
      </c>
    </row>
    <row r="1127" spans="1:6" x14ac:dyDescent="0.25">
      <c r="A1127">
        <v>1</v>
      </c>
      <c r="B1127">
        <v>13.4</v>
      </c>
      <c r="C1127">
        <v>17.8</v>
      </c>
      <c r="D1127">
        <v>32.299999999999997</v>
      </c>
      <c r="E1127">
        <v>101.3</v>
      </c>
      <c r="F1127">
        <v>1</v>
      </c>
    </row>
    <row r="1128" spans="1:6" x14ac:dyDescent="0.25">
      <c r="A1128">
        <v>0</v>
      </c>
      <c r="B1128">
        <v>16.600000000000001</v>
      </c>
      <c r="C1128">
        <v>21.7</v>
      </c>
      <c r="D1128">
        <v>30.8</v>
      </c>
      <c r="E1128">
        <v>88.1</v>
      </c>
      <c r="F1128">
        <v>0</v>
      </c>
    </row>
    <row r="1129" spans="1:6" x14ac:dyDescent="0.25">
      <c r="A1129">
        <v>1</v>
      </c>
      <c r="B1129">
        <v>13.3</v>
      </c>
      <c r="C1129">
        <v>25.4</v>
      </c>
      <c r="D1129">
        <v>30.8</v>
      </c>
      <c r="E1129">
        <v>82.9</v>
      </c>
      <c r="F1129">
        <v>1</v>
      </c>
    </row>
    <row r="1130" spans="1:6" x14ac:dyDescent="0.25">
      <c r="A1130">
        <v>1</v>
      </c>
      <c r="B1130">
        <v>14.6</v>
      </c>
      <c r="C1130">
        <v>25.5</v>
      </c>
      <c r="D1130">
        <v>31.8</v>
      </c>
      <c r="E1130">
        <v>83.5</v>
      </c>
      <c r="F1130">
        <v>0</v>
      </c>
    </row>
    <row r="1131" spans="1:6" x14ac:dyDescent="0.25">
      <c r="A1131">
        <v>0</v>
      </c>
      <c r="B1131">
        <v>13.4</v>
      </c>
      <c r="C1131">
        <v>26.3</v>
      </c>
      <c r="D1131">
        <v>28.5</v>
      </c>
      <c r="E1131">
        <v>84.6</v>
      </c>
      <c r="F1131">
        <v>0</v>
      </c>
    </row>
    <row r="1132" spans="1:6" x14ac:dyDescent="0.25">
      <c r="A1132">
        <v>0</v>
      </c>
      <c r="B1132">
        <v>13</v>
      </c>
      <c r="C1132">
        <v>28.3</v>
      </c>
      <c r="D1132">
        <v>30</v>
      </c>
      <c r="E1132">
        <v>83</v>
      </c>
      <c r="F1132">
        <v>0</v>
      </c>
    </row>
    <row r="1133" spans="1:6" x14ac:dyDescent="0.25">
      <c r="A1133">
        <v>1</v>
      </c>
      <c r="B1133">
        <v>12.8</v>
      </c>
      <c r="C1133">
        <v>21.6</v>
      </c>
      <c r="D1133">
        <v>28.3</v>
      </c>
      <c r="E1133">
        <v>81.2</v>
      </c>
      <c r="F1133">
        <v>1</v>
      </c>
    </row>
    <row r="1134" spans="1:6" x14ac:dyDescent="0.25">
      <c r="A1134">
        <v>0</v>
      </c>
      <c r="B1134">
        <v>10.6</v>
      </c>
      <c r="C1134">
        <v>25.6</v>
      </c>
      <c r="D1134">
        <v>28</v>
      </c>
      <c r="E1134">
        <v>72.099999999999994</v>
      </c>
      <c r="F1134">
        <v>1</v>
      </c>
    </row>
    <row r="1135" spans="1:6" x14ac:dyDescent="0.25">
      <c r="A1135">
        <v>0</v>
      </c>
      <c r="B1135">
        <v>14.3</v>
      </c>
      <c r="C1135">
        <v>27.6</v>
      </c>
      <c r="D1135">
        <v>32.299999999999997</v>
      </c>
      <c r="E1135">
        <v>74.3</v>
      </c>
      <c r="F1135">
        <v>0</v>
      </c>
    </row>
    <row r="1136" spans="1:6" x14ac:dyDescent="0.25">
      <c r="A1136">
        <v>1</v>
      </c>
      <c r="B1136">
        <v>13.1</v>
      </c>
      <c r="C1136">
        <v>26.9</v>
      </c>
      <c r="D1136">
        <v>29.5</v>
      </c>
      <c r="E1136">
        <v>77.599999999999994</v>
      </c>
      <c r="F1136">
        <v>1</v>
      </c>
    </row>
    <row r="1137" spans="1:6" x14ac:dyDescent="0.25">
      <c r="A1137">
        <v>0</v>
      </c>
      <c r="B1137">
        <v>13.1</v>
      </c>
      <c r="C1137">
        <v>27</v>
      </c>
      <c r="D1137">
        <v>32.4</v>
      </c>
      <c r="E1137">
        <v>97.8</v>
      </c>
      <c r="F1137">
        <v>0</v>
      </c>
    </row>
    <row r="1138" spans="1:6" x14ac:dyDescent="0.25">
      <c r="A1138">
        <v>0</v>
      </c>
      <c r="B1138">
        <v>15.5</v>
      </c>
      <c r="C1138">
        <v>26.9</v>
      </c>
      <c r="D1138">
        <v>28</v>
      </c>
      <c r="E1138">
        <v>72.7</v>
      </c>
      <c r="F1138">
        <v>0</v>
      </c>
    </row>
    <row r="1139" spans="1:6" x14ac:dyDescent="0.25">
      <c r="A1139">
        <v>0</v>
      </c>
      <c r="B1139">
        <v>14</v>
      </c>
      <c r="C1139">
        <v>26.9</v>
      </c>
      <c r="D1139">
        <v>28</v>
      </c>
      <c r="E1139">
        <v>89.9</v>
      </c>
      <c r="F1139">
        <v>0</v>
      </c>
    </row>
    <row r="1140" spans="1:6" x14ac:dyDescent="0.25">
      <c r="A1140">
        <v>1</v>
      </c>
      <c r="B1140">
        <v>15.3</v>
      </c>
      <c r="C1140">
        <v>28.9</v>
      </c>
      <c r="D1140">
        <v>31.6</v>
      </c>
      <c r="E1140">
        <v>76.3</v>
      </c>
      <c r="F1140">
        <v>0</v>
      </c>
    </row>
    <row r="1141" spans="1:6" x14ac:dyDescent="0.25">
      <c r="A1141">
        <v>1</v>
      </c>
      <c r="B1141">
        <v>14.3</v>
      </c>
      <c r="C1141">
        <v>20.399999999999999</v>
      </c>
      <c r="D1141">
        <v>28</v>
      </c>
      <c r="E1141">
        <v>97.4</v>
      </c>
      <c r="F1141">
        <v>0</v>
      </c>
    </row>
    <row r="1142" spans="1:6" x14ac:dyDescent="0.25">
      <c r="A1142">
        <v>0</v>
      </c>
      <c r="B1142">
        <v>11.1</v>
      </c>
      <c r="C1142">
        <v>16.100000000000001</v>
      </c>
      <c r="D1142">
        <v>32.5</v>
      </c>
      <c r="E1142">
        <v>77.099999999999994</v>
      </c>
      <c r="F1142">
        <v>1</v>
      </c>
    </row>
    <row r="1143" spans="1:6" x14ac:dyDescent="0.25">
      <c r="A1143">
        <v>1</v>
      </c>
      <c r="B1143">
        <v>14.4</v>
      </c>
      <c r="C1143">
        <v>18.100000000000001</v>
      </c>
      <c r="D1143">
        <v>28.7</v>
      </c>
      <c r="E1143">
        <v>80.2</v>
      </c>
      <c r="F1143">
        <v>0</v>
      </c>
    </row>
    <row r="1144" spans="1:6" x14ac:dyDescent="0.25">
      <c r="A1144">
        <v>0</v>
      </c>
      <c r="B1144">
        <v>12</v>
      </c>
      <c r="C1144">
        <v>19.399999999999999</v>
      </c>
      <c r="D1144">
        <v>29.6</v>
      </c>
      <c r="E1144">
        <v>71.5</v>
      </c>
      <c r="F1144">
        <v>0</v>
      </c>
    </row>
    <row r="1145" spans="1:6" x14ac:dyDescent="0.25">
      <c r="A1145">
        <v>0</v>
      </c>
      <c r="B1145">
        <v>11.7</v>
      </c>
      <c r="C1145">
        <v>19.899999999999999</v>
      </c>
      <c r="D1145">
        <v>28.9</v>
      </c>
      <c r="E1145">
        <v>71.599999999999994</v>
      </c>
      <c r="F1145">
        <v>1</v>
      </c>
    </row>
    <row r="1146" spans="1:6" x14ac:dyDescent="0.25">
      <c r="A1146">
        <v>1</v>
      </c>
      <c r="B1146">
        <v>12.7</v>
      </c>
      <c r="C1146">
        <v>22.5</v>
      </c>
      <c r="D1146">
        <v>28.3</v>
      </c>
      <c r="E1146">
        <v>93.5</v>
      </c>
      <c r="F1146">
        <v>1</v>
      </c>
    </row>
    <row r="1147" spans="1:6" x14ac:dyDescent="0.25">
      <c r="A1147">
        <v>1</v>
      </c>
      <c r="B1147">
        <v>12.2</v>
      </c>
      <c r="C1147">
        <v>20.100000000000001</v>
      </c>
      <c r="D1147">
        <v>29.8</v>
      </c>
      <c r="E1147">
        <v>72.599999999999994</v>
      </c>
      <c r="F1147">
        <v>1</v>
      </c>
    </row>
    <row r="1148" spans="1:6" x14ac:dyDescent="0.25">
      <c r="A1148">
        <v>1</v>
      </c>
      <c r="B1148">
        <v>15.2</v>
      </c>
      <c r="C1148">
        <v>19.5</v>
      </c>
      <c r="D1148">
        <v>28.3</v>
      </c>
      <c r="E1148">
        <v>74.099999999999994</v>
      </c>
      <c r="F1148">
        <v>0</v>
      </c>
    </row>
    <row r="1149" spans="1:6" x14ac:dyDescent="0.25">
      <c r="A1149">
        <v>0</v>
      </c>
      <c r="B1149">
        <v>12</v>
      </c>
      <c r="C1149">
        <v>21.5</v>
      </c>
      <c r="D1149">
        <v>29.1</v>
      </c>
      <c r="E1149">
        <v>101.1</v>
      </c>
      <c r="F1149">
        <v>0</v>
      </c>
    </row>
    <row r="1150" spans="1:6" x14ac:dyDescent="0.25">
      <c r="A1150">
        <v>1</v>
      </c>
      <c r="B1150">
        <v>11.5</v>
      </c>
      <c r="C1150">
        <v>17.399999999999999</v>
      </c>
      <c r="D1150">
        <v>32.1</v>
      </c>
      <c r="E1150">
        <v>87.3</v>
      </c>
      <c r="F1150">
        <v>1</v>
      </c>
    </row>
    <row r="1151" spans="1:6" x14ac:dyDescent="0.25">
      <c r="A1151">
        <v>1</v>
      </c>
      <c r="B1151">
        <v>15.1</v>
      </c>
      <c r="C1151">
        <v>24.3</v>
      </c>
      <c r="D1151">
        <v>31.4</v>
      </c>
      <c r="E1151">
        <v>76.099999999999994</v>
      </c>
      <c r="F1151">
        <v>0</v>
      </c>
    </row>
    <row r="1152" spans="1:6" x14ac:dyDescent="0.25">
      <c r="A1152">
        <v>0</v>
      </c>
      <c r="B1152">
        <v>11.5</v>
      </c>
      <c r="C1152">
        <v>18.899999999999999</v>
      </c>
      <c r="D1152">
        <v>31.2</v>
      </c>
      <c r="E1152">
        <v>81.3</v>
      </c>
      <c r="F1152">
        <v>1</v>
      </c>
    </row>
    <row r="1153" spans="1:6" x14ac:dyDescent="0.25">
      <c r="A1153">
        <v>0</v>
      </c>
      <c r="B1153">
        <v>12.8</v>
      </c>
      <c r="C1153">
        <v>29.2</v>
      </c>
      <c r="D1153">
        <v>32.1</v>
      </c>
      <c r="E1153">
        <v>89.8</v>
      </c>
      <c r="F1153">
        <v>0</v>
      </c>
    </row>
    <row r="1154" spans="1:6" x14ac:dyDescent="0.25">
      <c r="A1154">
        <v>1</v>
      </c>
      <c r="B1154">
        <v>15.1</v>
      </c>
      <c r="C1154">
        <v>21.6</v>
      </c>
      <c r="D1154">
        <v>28.4</v>
      </c>
      <c r="E1154">
        <v>100</v>
      </c>
      <c r="F1154">
        <v>0</v>
      </c>
    </row>
    <row r="1155" spans="1:6" x14ac:dyDescent="0.25">
      <c r="A1155">
        <v>1</v>
      </c>
      <c r="B1155">
        <v>11.5</v>
      </c>
      <c r="C1155">
        <v>19.2</v>
      </c>
      <c r="D1155">
        <v>30.8</v>
      </c>
      <c r="E1155">
        <v>78.2</v>
      </c>
      <c r="F1155">
        <v>1</v>
      </c>
    </row>
    <row r="1156" spans="1:6" x14ac:dyDescent="0.25">
      <c r="A1156">
        <v>1</v>
      </c>
      <c r="B1156">
        <v>15</v>
      </c>
      <c r="C1156">
        <v>19.899999999999999</v>
      </c>
      <c r="D1156">
        <v>30.1</v>
      </c>
      <c r="E1156">
        <v>76.5</v>
      </c>
      <c r="F1156">
        <v>0</v>
      </c>
    </row>
    <row r="1157" spans="1:6" x14ac:dyDescent="0.25">
      <c r="A1157">
        <v>0</v>
      </c>
      <c r="B1157">
        <v>13.2</v>
      </c>
      <c r="C1157">
        <v>17</v>
      </c>
      <c r="D1157">
        <v>29.4</v>
      </c>
      <c r="E1157">
        <v>101.5</v>
      </c>
      <c r="F1157">
        <v>0</v>
      </c>
    </row>
    <row r="1158" spans="1:6" x14ac:dyDescent="0.25">
      <c r="A1158">
        <v>1</v>
      </c>
      <c r="B1158">
        <v>15.1</v>
      </c>
      <c r="C1158">
        <v>21.3</v>
      </c>
      <c r="D1158">
        <v>32.4</v>
      </c>
      <c r="E1158">
        <v>100.6</v>
      </c>
      <c r="F1158">
        <v>0</v>
      </c>
    </row>
    <row r="1159" spans="1:6" x14ac:dyDescent="0.25">
      <c r="A1159">
        <v>0</v>
      </c>
      <c r="B1159">
        <v>16.600000000000001</v>
      </c>
      <c r="C1159">
        <v>28.4</v>
      </c>
      <c r="D1159">
        <v>31</v>
      </c>
      <c r="E1159">
        <v>75.599999999999994</v>
      </c>
      <c r="F1159">
        <v>0</v>
      </c>
    </row>
    <row r="1160" spans="1:6" x14ac:dyDescent="0.25">
      <c r="A1160">
        <v>0</v>
      </c>
      <c r="B1160">
        <v>13.6</v>
      </c>
      <c r="C1160">
        <v>29.8</v>
      </c>
      <c r="D1160">
        <v>32.4</v>
      </c>
      <c r="E1160">
        <v>76.599999999999994</v>
      </c>
      <c r="F1160">
        <v>0</v>
      </c>
    </row>
    <row r="1161" spans="1:6" x14ac:dyDescent="0.25">
      <c r="A1161">
        <v>1</v>
      </c>
      <c r="B1161">
        <v>13.7</v>
      </c>
      <c r="C1161">
        <v>26</v>
      </c>
      <c r="D1161">
        <v>31.4</v>
      </c>
      <c r="E1161">
        <v>82.8</v>
      </c>
      <c r="F1161">
        <v>0</v>
      </c>
    </row>
    <row r="1162" spans="1:6" x14ac:dyDescent="0.25">
      <c r="A1162">
        <v>1</v>
      </c>
      <c r="B1162">
        <v>14.8</v>
      </c>
      <c r="C1162">
        <v>19.5</v>
      </c>
      <c r="D1162">
        <v>32.200000000000003</v>
      </c>
      <c r="E1162">
        <v>72.099999999999994</v>
      </c>
      <c r="F1162">
        <v>0</v>
      </c>
    </row>
    <row r="1163" spans="1:6" x14ac:dyDescent="0.25">
      <c r="A1163">
        <v>0</v>
      </c>
      <c r="B1163">
        <v>14.3</v>
      </c>
      <c r="C1163">
        <v>19.2</v>
      </c>
      <c r="D1163">
        <v>30.9</v>
      </c>
      <c r="E1163">
        <v>94.8</v>
      </c>
      <c r="F1163">
        <v>0</v>
      </c>
    </row>
    <row r="1164" spans="1:6" x14ac:dyDescent="0.25">
      <c r="A1164">
        <v>1</v>
      </c>
      <c r="B1164">
        <v>14.4</v>
      </c>
      <c r="C1164">
        <v>25.2</v>
      </c>
      <c r="D1164">
        <v>32.200000000000003</v>
      </c>
      <c r="E1164">
        <v>94.9</v>
      </c>
      <c r="F1164">
        <v>0</v>
      </c>
    </row>
    <row r="1165" spans="1:6" x14ac:dyDescent="0.25">
      <c r="A1165">
        <v>0</v>
      </c>
      <c r="B1165">
        <v>14</v>
      </c>
      <c r="C1165">
        <v>18.2</v>
      </c>
      <c r="D1165">
        <v>29.6</v>
      </c>
      <c r="E1165">
        <v>77.599999999999994</v>
      </c>
      <c r="F1165">
        <v>0</v>
      </c>
    </row>
    <row r="1166" spans="1:6" x14ac:dyDescent="0.25">
      <c r="A1166">
        <v>0</v>
      </c>
      <c r="B1166">
        <v>16.8</v>
      </c>
      <c r="C1166">
        <v>24.4</v>
      </c>
      <c r="D1166">
        <v>28.2</v>
      </c>
      <c r="E1166">
        <v>74.8</v>
      </c>
      <c r="F1166">
        <v>0</v>
      </c>
    </row>
    <row r="1167" spans="1:6" x14ac:dyDescent="0.25">
      <c r="A1167">
        <v>0</v>
      </c>
      <c r="B1167">
        <v>16.899999999999999</v>
      </c>
      <c r="C1167">
        <v>19.3</v>
      </c>
      <c r="D1167">
        <v>29.1</v>
      </c>
      <c r="E1167">
        <v>82.1</v>
      </c>
      <c r="F1167">
        <v>0</v>
      </c>
    </row>
    <row r="1168" spans="1:6" x14ac:dyDescent="0.25">
      <c r="A1168">
        <v>1</v>
      </c>
      <c r="B1168">
        <v>12.3</v>
      </c>
      <c r="C1168">
        <v>22.9</v>
      </c>
      <c r="D1168">
        <v>27.9</v>
      </c>
      <c r="E1168">
        <v>71</v>
      </c>
      <c r="F1168">
        <v>1</v>
      </c>
    </row>
    <row r="1169" spans="1:6" x14ac:dyDescent="0.25">
      <c r="A1169">
        <v>1</v>
      </c>
      <c r="B1169">
        <v>11.6</v>
      </c>
      <c r="C1169">
        <v>24.6</v>
      </c>
      <c r="D1169">
        <v>28.2</v>
      </c>
      <c r="E1169">
        <v>96.7</v>
      </c>
      <c r="F1169">
        <v>1</v>
      </c>
    </row>
    <row r="1170" spans="1:6" x14ac:dyDescent="0.25">
      <c r="A1170">
        <v>0</v>
      </c>
      <c r="B1170">
        <v>11.7</v>
      </c>
      <c r="C1170">
        <v>24.4</v>
      </c>
      <c r="D1170">
        <v>31.5</v>
      </c>
      <c r="E1170">
        <v>99.8</v>
      </c>
      <c r="F1170">
        <v>1</v>
      </c>
    </row>
    <row r="1171" spans="1:6" x14ac:dyDescent="0.25">
      <c r="A1171">
        <v>1</v>
      </c>
      <c r="B1171">
        <v>12.9</v>
      </c>
      <c r="C1171">
        <v>19.5</v>
      </c>
      <c r="D1171">
        <v>28.7</v>
      </c>
      <c r="E1171">
        <v>87.7</v>
      </c>
      <c r="F1171">
        <v>1</v>
      </c>
    </row>
    <row r="1172" spans="1:6" x14ac:dyDescent="0.25">
      <c r="A1172">
        <v>0</v>
      </c>
      <c r="B1172">
        <v>15</v>
      </c>
      <c r="C1172">
        <v>19.5</v>
      </c>
      <c r="D1172">
        <v>31.3</v>
      </c>
      <c r="E1172">
        <v>71.900000000000006</v>
      </c>
      <c r="F1172">
        <v>0</v>
      </c>
    </row>
    <row r="1173" spans="1:6" x14ac:dyDescent="0.25">
      <c r="A1173">
        <v>0</v>
      </c>
      <c r="B1173">
        <v>13.6</v>
      </c>
      <c r="C1173">
        <v>28.8</v>
      </c>
      <c r="D1173">
        <v>32.5</v>
      </c>
      <c r="E1173">
        <v>99.6</v>
      </c>
      <c r="F1173">
        <v>0</v>
      </c>
    </row>
    <row r="1174" spans="1:6" x14ac:dyDescent="0.25">
      <c r="A1174">
        <v>0</v>
      </c>
      <c r="B1174">
        <v>11.2</v>
      </c>
      <c r="C1174">
        <v>18.8</v>
      </c>
      <c r="D1174">
        <v>30.9</v>
      </c>
      <c r="E1174">
        <v>94.7</v>
      </c>
      <c r="F1174">
        <v>1</v>
      </c>
    </row>
    <row r="1175" spans="1:6" x14ac:dyDescent="0.25">
      <c r="A1175">
        <v>0</v>
      </c>
      <c r="B1175">
        <v>11.6</v>
      </c>
      <c r="C1175">
        <v>18.8</v>
      </c>
      <c r="D1175">
        <v>29.3</v>
      </c>
      <c r="E1175">
        <v>79.099999999999994</v>
      </c>
      <c r="F1175">
        <v>1</v>
      </c>
    </row>
    <row r="1176" spans="1:6" x14ac:dyDescent="0.25">
      <c r="A1176">
        <v>1</v>
      </c>
      <c r="B1176">
        <v>12.1</v>
      </c>
      <c r="C1176">
        <v>18.899999999999999</v>
      </c>
      <c r="D1176">
        <v>31.2</v>
      </c>
      <c r="E1176">
        <v>76</v>
      </c>
      <c r="F1176">
        <v>1</v>
      </c>
    </row>
    <row r="1177" spans="1:6" x14ac:dyDescent="0.25">
      <c r="A1177">
        <v>0</v>
      </c>
      <c r="B1177">
        <v>16</v>
      </c>
      <c r="C1177">
        <v>23.6</v>
      </c>
      <c r="D1177">
        <v>29.4</v>
      </c>
      <c r="E1177">
        <v>95.6</v>
      </c>
      <c r="F1177">
        <v>0</v>
      </c>
    </row>
    <row r="1178" spans="1:6" x14ac:dyDescent="0.25">
      <c r="A1178">
        <v>0</v>
      </c>
      <c r="B1178">
        <v>13.2</v>
      </c>
      <c r="C1178">
        <v>25.6</v>
      </c>
      <c r="D1178">
        <v>31.1</v>
      </c>
      <c r="E1178">
        <v>100.4</v>
      </c>
      <c r="F1178">
        <v>0</v>
      </c>
    </row>
    <row r="1179" spans="1:6" x14ac:dyDescent="0.25">
      <c r="A1179">
        <v>0</v>
      </c>
      <c r="B1179">
        <v>13</v>
      </c>
      <c r="C1179">
        <v>26.2</v>
      </c>
      <c r="D1179">
        <v>31.3</v>
      </c>
      <c r="E1179">
        <v>74.900000000000006</v>
      </c>
      <c r="F1179">
        <v>0</v>
      </c>
    </row>
    <row r="1180" spans="1:6" x14ac:dyDescent="0.25">
      <c r="A1180">
        <v>1</v>
      </c>
      <c r="B1180">
        <v>13.2</v>
      </c>
      <c r="C1180">
        <v>20.100000000000001</v>
      </c>
      <c r="D1180">
        <v>28.8</v>
      </c>
      <c r="E1180">
        <v>91.2</v>
      </c>
      <c r="F1180">
        <v>1</v>
      </c>
    </row>
    <row r="1181" spans="1:6" x14ac:dyDescent="0.25">
      <c r="A1181">
        <v>0</v>
      </c>
      <c r="B1181">
        <v>10.6</v>
      </c>
      <c r="C1181">
        <v>25.4</v>
      </c>
      <c r="D1181">
        <v>28.2</v>
      </c>
      <c r="E1181">
        <v>82.9</v>
      </c>
      <c r="F1181">
        <v>1</v>
      </c>
    </row>
    <row r="1182" spans="1:6" x14ac:dyDescent="0.25">
      <c r="A1182">
        <v>1</v>
      </c>
      <c r="B1182">
        <v>12.1</v>
      </c>
      <c r="C1182">
        <v>28.3</v>
      </c>
      <c r="D1182">
        <v>30.4</v>
      </c>
      <c r="E1182">
        <v>86.9</v>
      </c>
      <c r="F1182">
        <v>1</v>
      </c>
    </row>
    <row r="1183" spans="1:6" x14ac:dyDescent="0.25">
      <c r="A1183">
        <v>1</v>
      </c>
      <c r="B1183">
        <v>13.1</v>
      </c>
      <c r="C1183">
        <v>17.7</v>
      </c>
      <c r="D1183">
        <v>28.1</v>
      </c>
      <c r="E1183">
        <v>80.7</v>
      </c>
      <c r="F1183">
        <v>1</v>
      </c>
    </row>
    <row r="1184" spans="1:6" x14ac:dyDescent="0.25">
      <c r="A1184">
        <v>0</v>
      </c>
      <c r="B1184">
        <v>14.3</v>
      </c>
      <c r="C1184">
        <v>16.2</v>
      </c>
      <c r="D1184">
        <v>29.5</v>
      </c>
      <c r="E1184">
        <v>95.2</v>
      </c>
      <c r="F1184">
        <v>0</v>
      </c>
    </row>
    <row r="1185" spans="1:6" x14ac:dyDescent="0.25">
      <c r="A1185">
        <v>0</v>
      </c>
      <c r="B1185">
        <v>11.8</v>
      </c>
      <c r="C1185">
        <v>21.2</v>
      </c>
      <c r="D1185">
        <v>28.4</v>
      </c>
      <c r="E1185">
        <v>98.1</v>
      </c>
      <c r="F1185">
        <v>1</v>
      </c>
    </row>
    <row r="1186" spans="1:6" x14ac:dyDescent="0.25">
      <c r="A1186">
        <v>1</v>
      </c>
      <c r="B1186">
        <v>12.4</v>
      </c>
      <c r="C1186">
        <v>21.7</v>
      </c>
      <c r="D1186">
        <v>31.9</v>
      </c>
      <c r="E1186">
        <v>90.9</v>
      </c>
      <c r="F1186">
        <v>1</v>
      </c>
    </row>
    <row r="1187" spans="1:6" x14ac:dyDescent="0.25">
      <c r="A1187">
        <v>1</v>
      </c>
      <c r="B1187">
        <v>10.8</v>
      </c>
      <c r="C1187">
        <v>26.7</v>
      </c>
      <c r="D1187">
        <v>31.6</v>
      </c>
      <c r="E1187">
        <v>98.3</v>
      </c>
      <c r="F1187">
        <v>1</v>
      </c>
    </row>
    <row r="1188" spans="1:6" x14ac:dyDescent="0.25">
      <c r="A1188">
        <v>0</v>
      </c>
      <c r="B1188">
        <v>11.9</v>
      </c>
      <c r="C1188">
        <v>16.7</v>
      </c>
      <c r="D1188">
        <v>31.9</v>
      </c>
      <c r="E1188">
        <v>74.099999999999994</v>
      </c>
      <c r="F1188">
        <v>1</v>
      </c>
    </row>
    <row r="1189" spans="1:6" x14ac:dyDescent="0.25">
      <c r="A1189">
        <v>1</v>
      </c>
      <c r="B1189">
        <v>15.2</v>
      </c>
      <c r="C1189">
        <v>19.8</v>
      </c>
      <c r="D1189">
        <v>28.5</v>
      </c>
      <c r="E1189">
        <v>83.7</v>
      </c>
      <c r="F1189">
        <v>0</v>
      </c>
    </row>
    <row r="1190" spans="1:6" x14ac:dyDescent="0.25">
      <c r="A1190">
        <v>0</v>
      </c>
      <c r="B1190">
        <v>15.3</v>
      </c>
      <c r="C1190">
        <v>18.3</v>
      </c>
      <c r="D1190">
        <v>30.4</v>
      </c>
      <c r="E1190">
        <v>93.4</v>
      </c>
      <c r="F1190">
        <v>0</v>
      </c>
    </row>
    <row r="1191" spans="1:6" x14ac:dyDescent="0.25">
      <c r="A1191">
        <v>1</v>
      </c>
      <c r="B1191">
        <v>12.5</v>
      </c>
      <c r="C1191">
        <v>22.2</v>
      </c>
      <c r="D1191">
        <v>27.9</v>
      </c>
      <c r="E1191">
        <v>89.4</v>
      </c>
      <c r="F1191">
        <v>1</v>
      </c>
    </row>
    <row r="1192" spans="1:6" x14ac:dyDescent="0.25">
      <c r="A1192">
        <v>1</v>
      </c>
      <c r="B1192">
        <v>15.2</v>
      </c>
      <c r="C1192">
        <v>29</v>
      </c>
      <c r="D1192">
        <v>28.2</v>
      </c>
      <c r="E1192">
        <v>90.2</v>
      </c>
      <c r="F1192">
        <v>0</v>
      </c>
    </row>
    <row r="1193" spans="1:6" x14ac:dyDescent="0.25">
      <c r="A1193">
        <v>0</v>
      </c>
      <c r="B1193">
        <v>14.6</v>
      </c>
      <c r="C1193">
        <v>16.899999999999999</v>
      </c>
      <c r="D1193">
        <v>31.9</v>
      </c>
      <c r="E1193">
        <v>78.099999999999994</v>
      </c>
      <c r="F1193">
        <v>0</v>
      </c>
    </row>
    <row r="1194" spans="1:6" x14ac:dyDescent="0.25">
      <c r="A1194">
        <v>1</v>
      </c>
      <c r="B1194">
        <v>13.6</v>
      </c>
      <c r="C1194">
        <v>22.2</v>
      </c>
      <c r="D1194">
        <v>29.6</v>
      </c>
      <c r="E1194">
        <v>96.3</v>
      </c>
      <c r="F1194">
        <v>0</v>
      </c>
    </row>
    <row r="1195" spans="1:6" x14ac:dyDescent="0.25">
      <c r="A1195">
        <v>1</v>
      </c>
      <c r="B1195">
        <v>13.5</v>
      </c>
      <c r="C1195">
        <v>19.8</v>
      </c>
      <c r="D1195">
        <v>32.299999999999997</v>
      </c>
      <c r="E1195">
        <v>89.4</v>
      </c>
      <c r="F1195">
        <v>0</v>
      </c>
    </row>
    <row r="1196" spans="1:6" x14ac:dyDescent="0.25">
      <c r="A1196">
        <v>0</v>
      </c>
      <c r="B1196">
        <v>13.1</v>
      </c>
      <c r="C1196">
        <v>21.4</v>
      </c>
      <c r="D1196">
        <v>29.4</v>
      </c>
      <c r="E1196">
        <v>73.3</v>
      </c>
      <c r="F1196">
        <v>0</v>
      </c>
    </row>
    <row r="1197" spans="1:6" x14ac:dyDescent="0.25">
      <c r="A1197">
        <v>0</v>
      </c>
      <c r="B1197">
        <v>15.2</v>
      </c>
      <c r="C1197">
        <v>21.5</v>
      </c>
      <c r="D1197">
        <v>32.5</v>
      </c>
      <c r="E1197">
        <v>84.5</v>
      </c>
      <c r="F1197">
        <v>0</v>
      </c>
    </row>
    <row r="1198" spans="1:6" x14ac:dyDescent="0.25">
      <c r="A1198">
        <v>1</v>
      </c>
      <c r="B1198">
        <v>10.6</v>
      </c>
      <c r="C1198">
        <v>29.5</v>
      </c>
      <c r="D1198">
        <v>30.4</v>
      </c>
      <c r="E1198">
        <v>85</v>
      </c>
      <c r="F1198">
        <v>1</v>
      </c>
    </row>
    <row r="1199" spans="1:6" x14ac:dyDescent="0.25">
      <c r="A1199">
        <v>0</v>
      </c>
      <c r="B1199">
        <v>12.9</v>
      </c>
      <c r="C1199">
        <v>21.8</v>
      </c>
      <c r="D1199">
        <v>31.9</v>
      </c>
      <c r="E1199">
        <v>94.4</v>
      </c>
      <c r="F1199">
        <v>0</v>
      </c>
    </row>
    <row r="1200" spans="1:6" x14ac:dyDescent="0.25">
      <c r="A1200">
        <v>1</v>
      </c>
      <c r="B1200">
        <v>12.9</v>
      </c>
      <c r="C1200">
        <v>25.7</v>
      </c>
      <c r="D1200">
        <v>29.7</v>
      </c>
      <c r="E1200">
        <v>80.599999999999994</v>
      </c>
      <c r="F1200">
        <v>1</v>
      </c>
    </row>
    <row r="1201" spans="1:6" x14ac:dyDescent="0.25">
      <c r="A1201">
        <v>0</v>
      </c>
      <c r="B1201">
        <v>16.600000000000001</v>
      </c>
      <c r="C1201">
        <v>26.3</v>
      </c>
      <c r="D1201">
        <v>29.8</v>
      </c>
      <c r="E1201">
        <v>85.1</v>
      </c>
      <c r="F1201">
        <v>0</v>
      </c>
    </row>
    <row r="1202" spans="1:6" x14ac:dyDescent="0.25">
      <c r="A1202">
        <v>1</v>
      </c>
      <c r="B1202">
        <v>12.5</v>
      </c>
      <c r="C1202">
        <v>24.9</v>
      </c>
      <c r="D1202">
        <v>30.5</v>
      </c>
      <c r="E1202">
        <v>77.3</v>
      </c>
      <c r="F1202">
        <v>1</v>
      </c>
    </row>
    <row r="1203" spans="1:6" x14ac:dyDescent="0.25">
      <c r="A1203">
        <v>0</v>
      </c>
      <c r="B1203">
        <v>10.5</v>
      </c>
      <c r="C1203">
        <v>28.5</v>
      </c>
      <c r="D1203">
        <v>32.299999999999997</v>
      </c>
      <c r="E1203">
        <v>70</v>
      </c>
      <c r="F1203">
        <v>1</v>
      </c>
    </row>
    <row r="1204" spans="1:6" x14ac:dyDescent="0.25">
      <c r="A1204">
        <v>1</v>
      </c>
      <c r="B1204">
        <v>14.3</v>
      </c>
      <c r="C1204">
        <v>27.7</v>
      </c>
      <c r="D1204">
        <v>28.9</v>
      </c>
      <c r="E1204">
        <v>70.3</v>
      </c>
      <c r="F1204">
        <v>0</v>
      </c>
    </row>
    <row r="1205" spans="1:6" x14ac:dyDescent="0.25">
      <c r="A1205">
        <v>1</v>
      </c>
      <c r="B1205">
        <v>14</v>
      </c>
      <c r="C1205">
        <v>20.100000000000001</v>
      </c>
      <c r="D1205">
        <v>32.4</v>
      </c>
      <c r="E1205">
        <v>71.099999999999994</v>
      </c>
      <c r="F1205">
        <v>0</v>
      </c>
    </row>
    <row r="1206" spans="1:6" x14ac:dyDescent="0.25">
      <c r="A1206">
        <v>1</v>
      </c>
      <c r="B1206">
        <v>10.7</v>
      </c>
      <c r="C1206">
        <v>22.7</v>
      </c>
      <c r="D1206">
        <v>30.5</v>
      </c>
      <c r="E1206">
        <v>86.6</v>
      </c>
      <c r="F1206">
        <v>1</v>
      </c>
    </row>
    <row r="1207" spans="1:6" x14ac:dyDescent="0.25">
      <c r="A1207">
        <v>0</v>
      </c>
      <c r="B1207">
        <v>14</v>
      </c>
      <c r="C1207">
        <v>27.4</v>
      </c>
      <c r="D1207">
        <v>31.8</v>
      </c>
      <c r="E1207">
        <v>87.2</v>
      </c>
      <c r="F1207">
        <v>0</v>
      </c>
    </row>
    <row r="1208" spans="1:6" x14ac:dyDescent="0.25">
      <c r="A1208">
        <v>0</v>
      </c>
      <c r="B1208">
        <v>16.8</v>
      </c>
      <c r="C1208">
        <v>18.5</v>
      </c>
      <c r="D1208">
        <v>28.6</v>
      </c>
      <c r="E1208">
        <v>96</v>
      </c>
      <c r="F1208">
        <v>0</v>
      </c>
    </row>
    <row r="1209" spans="1:6" x14ac:dyDescent="0.25">
      <c r="A1209">
        <v>1</v>
      </c>
      <c r="B1209">
        <v>15.5</v>
      </c>
      <c r="C1209">
        <v>21.3</v>
      </c>
      <c r="D1209">
        <v>28</v>
      </c>
      <c r="E1209">
        <v>75.900000000000006</v>
      </c>
      <c r="F1209">
        <v>0</v>
      </c>
    </row>
    <row r="1210" spans="1:6" x14ac:dyDescent="0.25">
      <c r="A1210">
        <v>1</v>
      </c>
      <c r="B1210">
        <v>12.9</v>
      </c>
      <c r="C1210">
        <v>28.7</v>
      </c>
      <c r="D1210">
        <v>31.1</v>
      </c>
      <c r="E1210">
        <v>71.3</v>
      </c>
      <c r="F1210">
        <v>1</v>
      </c>
    </row>
    <row r="1211" spans="1:6" x14ac:dyDescent="0.25">
      <c r="A1211">
        <v>0</v>
      </c>
      <c r="B1211">
        <v>12.6</v>
      </c>
      <c r="C1211">
        <v>25</v>
      </c>
      <c r="D1211">
        <v>28</v>
      </c>
      <c r="E1211">
        <v>88.3</v>
      </c>
      <c r="F1211">
        <v>0</v>
      </c>
    </row>
    <row r="1212" spans="1:6" x14ac:dyDescent="0.25">
      <c r="A1212">
        <v>0</v>
      </c>
      <c r="B1212">
        <v>15.5</v>
      </c>
      <c r="C1212">
        <v>24.1</v>
      </c>
      <c r="D1212">
        <v>32.200000000000003</v>
      </c>
      <c r="E1212">
        <v>97.4</v>
      </c>
      <c r="F1212">
        <v>0</v>
      </c>
    </row>
    <row r="1213" spans="1:6" x14ac:dyDescent="0.25">
      <c r="A1213">
        <v>1</v>
      </c>
      <c r="B1213">
        <v>12.8</v>
      </c>
      <c r="C1213">
        <v>18.399999999999999</v>
      </c>
      <c r="D1213">
        <v>31</v>
      </c>
      <c r="E1213">
        <v>101.6</v>
      </c>
      <c r="F1213">
        <v>1</v>
      </c>
    </row>
    <row r="1214" spans="1:6" x14ac:dyDescent="0.25">
      <c r="A1214">
        <v>1</v>
      </c>
      <c r="B1214">
        <v>13.2</v>
      </c>
      <c r="C1214">
        <v>16.2</v>
      </c>
      <c r="D1214">
        <v>30.6</v>
      </c>
      <c r="E1214">
        <v>70.400000000000006</v>
      </c>
      <c r="F1214">
        <v>1</v>
      </c>
    </row>
    <row r="1215" spans="1:6" x14ac:dyDescent="0.25">
      <c r="A1215">
        <v>1</v>
      </c>
      <c r="B1215">
        <v>13.9</v>
      </c>
      <c r="C1215">
        <v>22.5</v>
      </c>
      <c r="D1215">
        <v>28.2</v>
      </c>
      <c r="E1215">
        <v>98.5</v>
      </c>
      <c r="F1215">
        <v>0</v>
      </c>
    </row>
    <row r="1216" spans="1:6" x14ac:dyDescent="0.25">
      <c r="A1216">
        <v>0</v>
      </c>
      <c r="B1216">
        <v>11.7</v>
      </c>
      <c r="C1216">
        <v>29.8</v>
      </c>
      <c r="D1216">
        <v>31.8</v>
      </c>
      <c r="E1216">
        <v>101.3</v>
      </c>
      <c r="F1216">
        <v>1</v>
      </c>
    </row>
    <row r="1217" spans="1:6" x14ac:dyDescent="0.25">
      <c r="A1217">
        <v>1</v>
      </c>
      <c r="B1217">
        <v>12</v>
      </c>
      <c r="C1217">
        <v>29.1</v>
      </c>
      <c r="D1217">
        <v>28.8</v>
      </c>
      <c r="E1217">
        <v>82.7</v>
      </c>
      <c r="F1217">
        <v>1</v>
      </c>
    </row>
    <row r="1218" spans="1:6" x14ac:dyDescent="0.25">
      <c r="A1218">
        <v>1</v>
      </c>
      <c r="B1218">
        <v>12.5</v>
      </c>
      <c r="C1218">
        <v>21.7</v>
      </c>
      <c r="D1218">
        <v>29.7</v>
      </c>
      <c r="E1218">
        <v>88.6</v>
      </c>
      <c r="F1218">
        <v>1</v>
      </c>
    </row>
    <row r="1219" spans="1:6" x14ac:dyDescent="0.25">
      <c r="A1219">
        <v>0</v>
      </c>
      <c r="B1219">
        <v>12.6</v>
      </c>
      <c r="C1219">
        <v>23.2</v>
      </c>
      <c r="D1219">
        <v>28.3</v>
      </c>
      <c r="E1219">
        <v>92.9</v>
      </c>
      <c r="F1219">
        <v>0</v>
      </c>
    </row>
    <row r="1220" spans="1:6" x14ac:dyDescent="0.25">
      <c r="A1220">
        <v>1</v>
      </c>
      <c r="B1220">
        <v>11.4</v>
      </c>
      <c r="C1220">
        <v>29</v>
      </c>
      <c r="D1220">
        <v>32.1</v>
      </c>
      <c r="E1220">
        <v>96.4</v>
      </c>
      <c r="F1220">
        <v>1</v>
      </c>
    </row>
    <row r="1221" spans="1:6" x14ac:dyDescent="0.25">
      <c r="A1221">
        <v>0</v>
      </c>
      <c r="B1221">
        <v>14.9</v>
      </c>
      <c r="C1221">
        <v>24.4</v>
      </c>
      <c r="D1221">
        <v>30.1</v>
      </c>
      <c r="E1221">
        <v>94.7</v>
      </c>
      <c r="F1221">
        <v>0</v>
      </c>
    </row>
    <row r="1222" spans="1:6" x14ac:dyDescent="0.25">
      <c r="A1222">
        <v>1</v>
      </c>
      <c r="B1222">
        <v>14.9</v>
      </c>
      <c r="C1222">
        <v>22.4</v>
      </c>
      <c r="D1222">
        <v>29.9</v>
      </c>
      <c r="E1222">
        <v>80.599999999999994</v>
      </c>
      <c r="F1222">
        <v>0</v>
      </c>
    </row>
    <row r="1223" spans="1:6" x14ac:dyDescent="0.25">
      <c r="A1223">
        <v>0</v>
      </c>
      <c r="B1223">
        <v>12.1</v>
      </c>
      <c r="C1223">
        <v>29.1</v>
      </c>
      <c r="D1223">
        <v>29.4</v>
      </c>
      <c r="E1223">
        <v>85.3</v>
      </c>
      <c r="F1223">
        <v>0</v>
      </c>
    </row>
    <row r="1224" spans="1:6" x14ac:dyDescent="0.25">
      <c r="A1224">
        <v>1</v>
      </c>
      <c r="B1224">
        <v>11.1</v>
      </c>
      <c r="C1224">
        <v>25</v>
      </c>
      <c r="D1224">
        <v>31.7</v>
      </c>
      <c r="E1224">
        <v>79.5</v>
      </c>
      <c r="F1224">
        <v>1</v>
      </c>
    </row>
    <row r="1225" spans="1:6" x14ac:dyDescent="0.25">
      <c r="A1225">
        <v>1</v>
      </c>
      <c r="B1225">
        <v>15.8</v>
      </c>
      <c r="C1225">
        <v>24.1</v>
      </c>
      <c r="D1225">
        <v>31.8</v>
      </c>
      <c r="E1225">
        <v>98.5</v>
      </c>
      <c r="F1225">
        <v>0</v>
      </c>
    </row>
    <row r="1226" spans="1:6" x14ac:dyDescent="0.25">
      <c r="A1226">
        <v>1</v>
      </c>
      <c r="B1226">
        <v>14.1</v>
      </c>
      <c r="C1226">
        <v>19.399999999999999</v>
      </c>
      <c r="D1226">
        <v>32.1</v>
      </c>
      <c r="E1226">
        <v>77.400000000000006</v>
      </c>
      <c r="F1226">
        <v>0</v>
      </c>
    </row>
    <row r="1227" spans="1:6" x14ac:dyDescent="0.25">
      <c r="A1227">
        <v>1</v>
      </c>
      <c r="B1227">
        <v>13.2</v>
      </c>
      <c r="C1227">
        <v>27.4</v>
      </c>
      <c r="D1227">
        <v>30.6</v>
      </c>
      <c r="E1227">
        <v>101</v>
      </c>
      <c r="F1227">
        <v>1</v>
      </c>
    </row>
    <row r="1228" spans="1:6" x14ac:dyDescent="0.25">
      <c r="A1228">
        <v>0</v>
      </c>
      <c r="B1228">
        <v>16.399999999999999</v>
      </c>
      <c r="C1228">
        <v>29.6</v>
      </c>
      <c r="D1228">
        <v>30.6</v>
      </c>
      <c r="E1228">
        <v>75.3</v>
      </c>
      <c r="F1228">
        <v>0</v>
      </c>
    </row>
    <row r="1229" spans="1:6" x14ac:dyDescent="0.25">
      <c r="A1229">
        <v>1</v>
      </c>
      <c r="B1229">
        <v>10.4</v>
      </c>
      <c r="C1229">
        <v>29</v>
      </c>
      <c r="D1229">
        <v>30</v>
      </c>
      <c r="E1229">
        <v>92.3</v>
      </c>
      <c r="F1229">
        <v>1</v>
      </c>
    </row>
    <row r="1230" spans="1:6" x14ac:dyDescent="0.25">
      <c r="A1230">
        <v>1</v>
      </c>
      <c r="B1230">
        <v>16.3</v>
      </c>
      <c r="C1230">
        <v>24.8</v>
      </c>
      <c r="D1230">
        <v>30.6</v>
      </c>
      <c r="E1230">
        <v>83.9</v>
      </c>
      <c r="F1230">
        <v>0</v>
      </c>
    </row>
    <row r="1231" spans="1:6" x14ac:dyDescent="0.25">
      <c r="A1231">
        <v>1</v>
      </c>
      <c r="B1231">
        <v>14.9</v>
      </c>
      <c r="C1231">
        <v>28.2</v>
      </c>
      <c r="D1231">
        <v>31.2</v>
      </c>
      <c r="E1231">
        <v>90.8</v>
      </c>
      <c r="F1231">
        <v>0</v>
      </c>
    </row>
    <row r="1232" spans="1:6" x14ac:dyDescent="0.25">
      <c r="A1232">
        <v>0</v>
      </c>
      <c r="B1232">
        <v>15.3</v>
      </c>
      <c r="C1232">
        <v>17.3</v>
      </c>
      <c r="D1232">
        <v>32.200000000000003</v>
      </c>
      <c r="E1232">
        <v>89.2</v>
      </c>
      <c r="F1232">
        <v>0</v>
      </c>
    </row>
    <row r="1233" spans="1:6" x14ac:dyDescent="0.25">
      <c r="A1233">
        <v>0</v>
      </c>
      <c r="B1233">
        <v>14.3</v>
      </c>
      <c r="C1233">
        <v>21.3</v>
      </c>
      <c r="D1233">
        <v>29.9</v>
      </c>
      <c r="E1233">
        <v>101.4</v>
      </c>
      <c r="F1233">
        <v>0</v>
      </c>
    </row>
    <row r="1234" spans="1:6" x14ac:dyDescent="0.25">
      <c r="A1234">
        <v>0</v>
      </c>
      <c r="B1234">
        <v>12.4</v>
      </c>
      <c r="C1234">
        <v>16.2</v>
      </c>
      <c r="D1234">
        <v>31.8</v>
      </c>
      <c r="E1234">
        <v>98.5</v>
      </c>
      <c r="F1234">
        <v>0</v>
      </c>
    </row>
    <row r="1235" spans="1:6" x14ac:dyDescent="0.25">
      <c r="A1235">
        <v>1</v>
      </c>
      <c r="B1235">
        <v>10.3</v>
      </c>
      <c r="C1235">
        <v>22.5</v>
      </c>
      <c r="D1235">
        <v>32.1</v>
      </c>
      <c r="E1235">
        <v>75</v>
      </c>
      <c r="F1235">
        <v>1</v>
      </c>
    </row>
    <row r="1236" spans="1:6" x14ac:dyDescent="0.25">
      <c r="A1236">
        <v>1</v>
      </c>
      <c r="B1236">
        <v>16.600000000000001</v>
      </c>
      <c r="C1236">
        <v>18.8</v>
      </c>
      <c r="D1236">
        <v>28.1</v>
      </c>
      <c r="E1236">
        <v>70.900000000000006</v>
      </c>
      <c r="F1236">
        <v>0</v>
      </c>
    </row>
    <row r="1237" spans="1:6" x14ac:dyDescent="0.25">
      <c r="A1237">
        <v>1</v>
      </c>
      <c r="B1237">
        <v>12.7</v>
      </c>
      <c r="C1237">
        <v>27.8</v>
      </c>
      <c r="D1237">
        <v>28.4</v>
      </c>
      <c r="E1237">
        <v>72.3</v>
      </c>
      <c r="F1237">
        <v>1</v>
      </c>
    </row>
    <row r="1238" spans="1:6" x14ac:dyDescent="0.25">
      <c r="A1238">
        <v>0</v>
      </c>
      <c r="B1238">
        <v>14.8</v>
      </c>
      <c r="C1238">
        <v>25.2</v>
      </c>
      <c r="D1238">
        <v>30.7</v>
      </c>
      <c r="E1238">
        <v>101</v>
      </c>
      <c r="F1238">
        <v>0</v>
      </c>
    </row>
    <row r="1239" spans="1:6" x14ac:dyDescent="0.25">
      <c r="A1239">
        <v>0</v>
      </c>
      <c r="B1239">
        <v>12.7</v>
      </c>
      <c r="C1239">
        <v>24.3</v>
      </c>
      <c r="D1239">
        <v>31.4</v>
      </c>
      <c r="E1239">
        <v>75.5</v>
      </c>
      <c r="F1239">
        <v>0</v>
      </c>
    </row>
    <row r="1240" spans="1:6" x14ac:dyDescent="0.25">
      <c r="A1240">
        <v>1</v>
      </c>
      <c r="B1240">
        <v>12.6</v>
      </c>
      <c r="C1240">
        <v>16.100000000000001</v>
      </c>
      <c r="D1240">
        <v>31.1</v>
      </c>
      <c r="E1240">
        <v>94.2</v>
      </c>
      <c r="F1240">
        <v>1</v>
      </c>
    </row>
    <row r="1241" spans="1:6" x14ac:dyDescent="0.25">
      <c r="A1241">
        <v>0</v>
      </c>
      <c r="B1241">
        <v>13.2</v>
      </c>
      <c r="C1241">
        <v>22</v>
      </c>
      <c r="D1241">
        <v>30.7</v>
      </c>
      <c r="E1241">
        <v>89.7</v>
      </c>
      <c r="F1241">
        <v>0</v>
      </c>
    </row>
    <row r="1242" spans="1:6" x14ac:dyDescent="0.25">
      <c r="A1242">
        <v>1</v>
      </c>
      <c r="B1242">
        <v>13.4</v>
      </c>
      <c r="C1242">
        <v>28.6</v>
      </c>
      <c r="D1242">
        <v>32</v>
      </c>
      <c r="E1242">
        <v>94</v>
      </c>
      <c r="F1242">
        <v>1</v>
      </c>
    </row>
    <row r="1243" spans="1:6" x14ac:dyDescent="0.25">
      <c r="A1243">
        <v>1</v>
      </c>
      <c r="B1243">
        <v>11.5</v>
      </c>
      <c r="C1243">
        <v>25.7</v>
      </c>
      <c r="D1243">
        <v>30.4</v>
      </c>
      <c r="E1243">
        <v>70.2</v>
      </c>
      <c r="F1243">
        <v>1</v>
      </c>
    </row>
    <row r="1244" spans="1:6" x14ac:dyDescent="0.25">
      <c r="A1244">
        <v>0</v>
      </c>
      <c r="B1244">
        <v>15.9</v>
      </c>
      <c r="C1244">
        <v>19.7</v>
      </c>
      <c r="D1244">
        <v>30.9</v>
      </c>
      <c r="E1244">
        <v>101.4</v>
      </c>
      <c r="F1244">
        <v>0</v>
      </c>
    </row>
    <row r="1245" spans="1:6" x14ac:dyDescent="0.25">
      <c r="A1245">
        <v>0</v>
      </c>
      <c r="B1245">
        <v>11.5</v>
      </c>
      <c r="C1245">
        <v>22.7</v>
      </c>
      <c r="D1245">
        <v>30.6</v>
      </c>
      <c r="E1245">
        <v>87.3</v>
      </c>
      <c r="F1245">
        <v>1</v>
      </c>
    </row>
    <row r="1246" spans="1:6" x14ac:dyDescent="0.25">
      <c r="A1246">
        <v>0</v>
      </c>
      <c r="B1246">
        <v>10.7</v>
      </c>
      <c r="C1246">
        <v>26.8</v>
      </c>
      <c r="D1246">
        <v>32.200000000000003</v>
      </c>
      <c r="E1246">
        <v>86.6</v>
      </c>
      <c r="F1246">
        <v>1</v>
      </c>
    </row>
    <row r="1247" spans="1:6" x14ac:dyDescent="0.25">
      <c r="A1247">
        <v>0</v>
      </c>
      <c r="B1247">
        <v>14.7</v>
      </c>
      <c r="C1247">
        <v>24.8</v>
      </c>
      <c r="D1247">
        <v>29.4</v>
      </c>
      <c r="E1247">
        <v>82.4</v>
      </c>
      <c r="F1247">
        <v>0</v>
      </c>
    </row>
    <row r="1248" spans="1:6" x14ac:dyDescent="0.25">
      <c r="A1248">
        <v>0</v>
      </c>
      <c r="B1248">
        <v>16.7</v>
      </c>
      <c r="C1248">
        <v>28.8</v>
      </c>
      <c r="D1248">
        <v>28.1</v>
      </c>
      <c r="E1248">
        <v>92</v>
      </c>
      <c r="F1248">
        <v>0</v>
      </c>
    </row>
    <row r="1249" spans="1:6" x14ac:dyDescent="0.25">
      <c r="A1249">
        <v>0</v>
      </c>
      <c r="B1249">
        <v>14.2</v>
      </c>
      <c r="C1249">
        <v>26.3</v>
      </c>
      <c r="D1249">
        <v>28.8</v>
      </c>
      <c r="E1249">
        <v>97.9</v>
      </c>
      <c r="F1249">
        <v>0</v>
      </c>
    </row>
    <row r="1250" spans="1:6" x14ac:dyDescent="0.25">
      <c r="A1250">
        <v>1</v>
      </c>
      <c r="B1250">
        <v>11.1</v>
      </c>
      <c r="C1250">
        <v>17.5</v>
      </c>
      <c r="D1250">
        <v>31.3</v>
      </c>
      <c r="E1250">
        <v>95.4</v>
      </c>
      <c r="F1250">
        <v>1</v>
      </c>
    </row>
    <row r="1251" spans="1:6" x14ac:dyDescent="0.25">
      <c r="A1251">
        <v>0</v>
      </c>
      <c r="B1251">
        <v>13.2</v>
      </c>
      <c r="C1251">
        <v>23.8</v>
      </c>
      <c r="D1251">
        <v>28</v>
      </c>
      <c r="E1251">
        <v>89.9</v>
      </c>
      <c r="F1251">
        <v>0</v>
      </c>
    </row>
    <row r="1252" spans="1:6" x14ac:dyDescent="0.25">
      <c r="A1252">
        <v>0</v>
      </c>
      <c r="B1252">
        <v>11.3</v>
      </c>
      <c r="C1252">
        <v>28.9</v>
      </c>
      <c r="D1252">
        <v>30.5</v>
      </c>
      <c r="E1252">
        <v>79.7</v>
      </c>
      <c r="F1252">
        <v>1</v>
      </c>
    </row>
    <row r="1253" spans="1:6" x14ac:dyDescent="0.25">
      <c r="A1253">
        <v>0</v>
      </c>
      <c r="B1253">
        <v>14.8</v>
      </c>
      <c r="C1253">
        <v>19.600000000000001</v>
      </c>
      <c r="D1253">
        <v>29</v>
      </c>
      <c r="E1253">
        <v>87.4</v>
      </c>
      <c r="F1253">
        <v>0</v>
      </c>
    </row>
    <row r="1254" spans="1:6" x14ac:dyDescent="0.25">
      <c r="A1254">
        <v>1</v>
      </c>
      <c r="B1254">
        <v>16</v>
      </c>
      <c r="C1254">
        <v>19.7</v>
      </c>
      <c r="D1254">
        <v>30.2</v>
      </c>
      <c r="E1254">
        <v>90.9</v>
      </c>
      <c r="F1254">
        <v>0</v>
      </c>
    </row>
    <row r="1255" spans="1:6" x14ac:dyDescent="0.25">
      <c r="A1255">
        <v>0</v>
      </c>
      <c r="B1255">
        <v>16.5</v>
      </c>
      <c r="C1255">
        <v>20.2</v>
      </c>
      <c r="D1255">
        <v>28</v>
      </c>
      <c r="E1255">
        <v>82.5</v>
      </c>
      <c r="F1255">
        <v>0</v>
      </c>
    </row>
    <row r="1256" spans="1:6" x14ac:dyDescent="0.25">
      <c r="A1256">
        <v>1</v>
      </c>
      <c r="B1256">
        <v>13.4</v>
      </c>
      <c r="C1256">
        <v>22.4</v>
      </c>
      <c r="D1256">
        <v>28.3</v>
      </c>
      <c r="E1256">
        <v>83.3</v>
      </c>
      <c r="F1256">
        <v>1</v>
      </c>
    </row>
    <row r="1257" spans="1:6" x14ac:dyDescent="0.25">
      <c r="A1257">
        <v>0</v>
      </c>
      <c r="B1257">
        <v>15.7</v>
      </c>
      <c r="C1257">
        <v>19.100000000000001</v>
      </c>
      <c r="D1257">
        <v>28.9</v>
      </c>
      <c r="E1257">
        <v>99.5</v>
      </c>
      <c r="F1257">
        <v>0</v>
      </c>
    </row>
    <row r="1258" spans="1:6" x14ac:dyDescent="0.25">
      <c r="A1258">
        <v>0</v>
      </c>
      <c r="B1258">
        <v>14.7</v>
      </c>
      <c r="C1258">
        <v>28.8</v>
      </c>
      <c r="D1258">
        <v>31.7</v>
      </c>
      <c r="E1258">
        <v>93.6</v>
      </c>
      <c r="F1258">
        <v>0</v>
      </c>
    </row>
    <row r="1259" spans="1:6" x14ac:dyDescent="0.25">
      <c r="A1259">
        <v>1</v>
      </c>
      <c r="B1259">
        <v>16</v>
      </c>
      <c r="C1259">
        <v>20.100000000000001</v>
      </c>
      <c r="D1259">
        <v>31.1</v>
      </c>
      <c r="E1259">
        <v>95.5</v>
      </c>
      <c r="F1259">
        <v>0</v>
      </c>
    </row>
    <row r="1260" spans="1:6" x14ac:dyDescent="0.25">
      <c r="A1260">
        <v>1</v>
      </c>
      <c r="B1260">
        <v>10.3</v>
      </c>
      <c r="C1260">
        <v>26.1</v>
      </c>
      <c r="D1260">
        <v>32.200000000000003</v>
      </c>
      <c r="E1260">
        <v>96.7</v>
      </c>
      <c r="F1260">
        <v>1</v>
      </c>
    </row>
    <row r="1261" spans="1:6" x14ac:dyDescent="0.25">
      <c r="A1261">
        <v>0</v>
      </c>
      <c r="B1261">
        <v>11.3</v>
      </c>
      <c r="C1261">
        <v>18.2</v>
      </c>
      <c r="D1261">
        <v>30.7</v>
      </c>
      <c r="E1261">
        <v>98</v>
      </c>
      <c r="F1261">
        <v>1</v>
      </c>
    </row>
    <row r="1262" spans="1:6" x14ac:dyDescent="0.25">
      <c r="A1262">
        <v>1</v>
      </c>
      <c r="B1262">
        <v>13.7</v>
      </c>
      <c r="C1262">
        <v>28.6</v>
      </c>
      <c r="D1262">
        <v>32.200000000000003</v>
      </c>
      <c r="E1262">
        <v>82.2</v>
      </c>
      <c r="F1262">
        <v>0</v>
      </c>
    </row>
    <row r="1263" spans="1:6" x14ac:dyDescent="0.25">
      <c r="A1263">
        <v>0</v>
      </c>
      <c r="B1263">
        <v>10.7</v>
      </c>
      <c r="C1263">
        <v>18.100000000000001</v>
      </c>
      <c r="D1263">
        <v>31.5</v>
      </c>
      <c r="E1263">
        <v>97.1</v>
      </c>
      <c r="F1263">
        <v>1</v>
      </c>
    </row>
    <row r="1264" spans="1:6" x14ac:dyDescent="0.25">
      <c r="A1264">
        <v>0</v>
      </c>
      <c r="B1264">
        <v>11.3</v>
      </c>
      <c r="C1264">
        <v>18.600000000000001</v>
      </c>
      <c r="D1264">
        <v>29.5</v>
      </c>
      <c r="E1264">
        <v>99.6</v>
      </c>
      <c r="F1264">
        <v>1</v>
      </c>
    </row>
    <row r="1265" spans="1:6" x14ac:dyDescent="0.25">
      <c r="A1265">
        <v>0</v>
      </c>
      <c r="B1265">
        <v>14.7</v>
      </c>
      <c r="C1265">
        <v>18.3</v>
      </c>
      <c r="D1265">
        <v>29.3</v>
      </c>
      <c r="E1265">
        <v>75.8</v>
      </c>
      <c r="F1265">
        <v>0</v>
      </c>
    </row>
    <row r="1266" spans="1:6" x14ac:dyDescent="0.25">
      <c r="A1266">
        <v>1</v>
      </c>
      <c r="B1266">
        <v>11.2</v>
      </c>
      <c r="C1266">
        <v>27.7</v>
      </c>
      <c r="D1266">
        <v>32</v>
      </c>
      <c r="E1266">
        <v>70.400000000000006</v>
      </c>
      <c r="F1266">
        <v>1</v>
      </c>
    </row>
    <row r="1267" spans="1:6" x14ac:dyDescent="0.25">
      <c r="A1267">
        <v>1</v>
      </c>
      <c r="B1267">
        <v>12.5</v>
      </c>
      <c r="C1267">
        <v>25.5</v>
      </c>
      <c r="D1267">
        <v>32</v>
      </c>
      <c r="E1267">
        <v>72.099999999999994</v>
      </c>
      <c r="F1267">
        <v>1</v>
      </c>
    </row>
    <row r="1268" spans="1:6" x14ac:dyDescent="0.25">
      <c r="A1268">
        <v>0</v>
      </c>
      <c r="B1268">
        <v>15.4</v>
      </c>
      <c r="C1268">
        <v>16.899999999999999</v>
      </c>
      <c r="D1268">
        <v>28</v>
      </c>
      <c r="E1268">
        <v>94.9</v>
      </c>
      <c r="F1268">
        <v>0</v>
      </c>
    </row>
    <row r="1269" spans="1:6" x14ac:dyDescent="0.25">
      <c r="A1269">
        <v>0</v>
      </c>
      <c r="B1269">
        <v>15</v>
      </c>
      <c r="C1269">
        <v>27.5</v>
      </c>
      <c r="D1269">
        <v>28.5</v>
      </c>
      <c r="E1269">
        <v>80.3</v>
      </c>
      <c r="F1269">
        <v>0</v>
      </c>
    </row>
    <row r="1270" spans="1:6" x14ac:dyDescent="0.25">
      <c r="A1270">
        <v>0</v>
      </c>
      <c r="B1270">
        <v>15.6</v>
      </c>
      <c r="C1270">
        <v>25.7</v>
      </c>
      <c r="D1270">
        <v>31.9</v>
      </c>
      <c r="E1270">
        <v>74.2</v>
      </c>
      <c r="F1270">
        <v>0</v>
      </c>
    </row>
    <row r="1271" spans="1:6" x14ac:dyDescent="0.25">
      <c r="A1271">
        <v>1</v>
      </c>
      <c r="B1271">
        <v>15.4</v>
      </c>
      <c r="C1271">
        <v>24.5</v>
      </c>
      <c r="D1271">
        <v>28.9</v>
      </c>
      <c r="E1271">
        <v>73.599999999999994</v>
      </c>
      <c r="F1271">
        <v>0</v>
      </c>
    </row>
    <row r="1272" spans="1:6" x14ac:dyDescent="0.25">
      <c r="A1272">
        <v>1</v>
      </c>
      <c r="B1272">
        <v>13</v>
      </c>
      <c r="C1272">
        <v>28.5</v>
      </c>
      <c r="D1272">
        <v>30.8</v>
      </c>
      <c r="E1272">
        <v>98.2</v>
      </c>
      <c r="F1272">
        <v>1</v>
      </c>
    </row>
    <row r="1273" spans="1:6" x14ac:dyDescent="0.25">
      <c r="A1273">
        <v>0</v>
      </c>
      <c r="B1273">
        <v>15.8</v>
      </c>
      <c r="C1273">
        <v>25.7</v>
      </c>
      <c r="D1273">
        <v>29.7</v>
      </c>
      <c r="E1273">
        <v>85.6</v>
      </c>
      <c r="F1273">
        <v>0</v>
      </c>
    </row>
    <row r="1274" spans="1:6" x14ac:dyDescent="0.25">
      <c r="A1274">
        <v>1</v>
      </c>
      <c r="B1274">
        <v>12.2</v>
      </c>
      <c r="C1274">
        <v>24.3</v>
      </c>
      <c r="D1274">
        <v>31.4</v>
      </c>
      <c r="E1274">
        <v>101.5</v>
      </c>
      <c r="F1274">
        <v>1</v>
      </c>
    </row>
    <row r="1275" spans="1:6" x14ac:dyDescent="0.25">
      <c r="A1275">
        <v>0</v>
      </c>
      <c r="B1275">
        <v>10.9</v>
      </c>
      <c r="C1275">
        <v>26.4</v>
      </c>
      <c r="D1275">
        <v>30.4</v>
      </c>
      <c r="E1275">
        <v>89.7</v>
      </c>
      <c r="F1275">
        <v>1</v>
      </c>
    </row>
    <row r="1276" spans="1:6" x14ac:dyDescent="0.25">
      <c r="A1276">
        <v>0</v>
      </c>
      <c r="B1276">
        <v>12.9</v>
      </c>
      <c r="C1276">
        <v>17.3</v>
      </c>
      <c r="D1276">
        <v>28.3</v>
      </c>
      <c r="E1276">
        <v>81.7</v>
      </c>
      <c r="F1276">
        <v>0</v>
      </c>
    </row>
    <row r="1277" spans="1:6" x14ac:dyDescent="0.25">
      <c r="A1277">
        <v>0</v>
      </c>
      <c r="B1277">
        <v>12.4</v>
      </c>
      <c r="C1277">
        <v>25.6</v>
      </c>
      <c r="D1277">
        <v>29.6</v>
      </c>
      <c r="E1277">
        <v>89.9</v>
      </c>
      <c r="F1277">
        <v>0</v>
      </c>
    </row>
    <row r="1278" spans="1:6" x14ac:dyDescent="0.25">
      <c r="A1278">
        <v>0</v>
      </c>
      <c r="B1278">
        <v>10.6</v>
      </c>
      <c r="C1278">
        <v>16</v>
      </c>
      <c r="D1278">
        <v>32.200000000000003</v>
      </c>
      <c r="E1278">
        <v>96.8</v>
      </c>
      <c r="F1278">
        <v>1</v>
      </c>
    </row>
    <row r="1279" spans="1:6" x14ac:dyDescent="0.25">
      <c r="A1279">
        <v>0</v>
      </c>
      <c r="B1279">
        <v>14.9</v>
      </c>
      <c r="C1279">
        <v>17.600000000000001</v>
      </c>
      <c r="D1279">
        <v>31.1</v>
      </c>
      <c r="E1279">
        <v>86.5</v>
      </c>
      <c r="F1279">
        <v>0</v>
      </c>
    </row>
    <row r="1280" spans="1:6" x14ac:dyDescent="0.25">
      <c r="A1280">
        <v>0</v>
      </c>
      <c r="B1280">
        <v>14</v>
      </c>
      <c r="C1280">
        <v>20.3</v>
      </c>
      <c r="D1280">
        <v>32.1</v>
      </c>
      <c r="E1280">
        <v>74</v>
      </c>
      <c r="F1280">
        <v>0</v>
      </c>
    </row>
    <row r="1281" spans="1:6" x14ac:dyDescent="0.25">
      <c r="A1281">
        <v>0</v>
      </c>
      <c r="B1281">
        <v>12.1</v>
      </c>
      <c r="C1281">
        <v>26.3</v>
      </c>
      <c r="D1281">
        <v>29.8</v>
      </c>
      <c r="E1281">
        <v>84.9</v>
      </c>
      <c r="F1281">
        <v>0</v>
      </c>
    </row>
    <row r="1282" spans="1:6" x14ac:dyDescent="0.25">
      <c r="A1282">
        <v>0</v>
      </c>
      <c r="B1282">
        <v>13.5</v>
      </c>
      <c r="C1282">
        <v>22.3</v>
      </c>
      <c r="D1282">
        <v>29.9</v>
      </c>
      <c r="E1282">
        <v>86.3</v>
      </c>
      <c r="F1282">
        <v>0</v>
      </c>
    </row>
    <row r="1283" spans="1:6" x14ac:dyDescent="0.25">
      <c r="A1283">
        <v>1</v>
      </c>
      <c r="B1283">
        <v>15.1</v>
      </c>
      <c r="C1283">
        <v>17.100000000000001</v>
      </c>
      <c r="D1283">
        <v>28.2</v>
      </c>
      <c r="E1283">
        <v>86.8</v>
      </c>
      <c r="F1283">
        <v>0</v>
      </c>
    </row>
    <row r="1284" spans="1:6" x14ac:dyDescent="0.25">
      <c r="A1284">
        <v>0</v>
      </c>
      <c r="B1284">
        <v>11.9</v>
      </c>
      <c r="C1284">
        <v>23.7</v>
      </c>
      <c r="D1284">
        <v>29.9</v>
      </c>
      <c r="E1284">
        <v>69.900000000000006</v>
      </c>
      <c r="F1284">
        <v>1</v>
      </c>
    </row>
    <row r="1285" spans="1:6" x14ac:dyDescent="0.25">
      <c r="A1285">
        <v>0</v>
      </c>
      <c r="B1285">
        <v>14.7</v>
      </c>
      <c r="C1285">
        <v>23.4</v>
      </c>
      <c r="D1285">
        <v>29</v>
      </c>
      <c r="E1285">
        <v>99.6</v>
      </c>
      <c r="F1285">
        <v>0</v>
      </c>
    </row>
    <row r="1286" spans="1:6" x14ac:dyDescent="0.25">
      <c r="A1286">
        <v>0</v>
      </c>
      <c r="B1286">
        <v>13.1</v>
      </c>
      <c r="C1286">
        <v>21.8</v>
      </c>
      <c r="D1286">
        <v>30.8</v>
      </c>
      <c r="E1286">
        <v>90.4</v>
      </c>
      <c r="F1286">
        <v>0</v>
      </c>
    </row>
    <row r="1287" spans="1:6" x14ac:dyDescent="0.25">
      <c r="A1287">
        <v>0</v>
      </c>
      <c r="B1287">
        <v>11.1</v>
      </c>
      <c r="C1287">
        <v>20.399999999999999</v>
      </c>
      <c r="D1287">
        <v>30.9</v>
      </c>
      <c r="E1287">
        <v>101.6</v>
      </c>
      <c r="F1287">
        <v>1</v>
      </c>
    </row>
    <row r="1288" spans="1:6" x14ac:dyDescent="0.25">
      <c r="A1288">
        <v>0</v>
      </c>
      <c r="B1288">
        <v>13.5</v>
      </c>
      <c r="C1288">
        <v>19.5</v>
      </c>
      <c r="D1288">
        <v>32.299999999999997</v>
      </c>
      <c r="E1288">
        <v>80.400000000000006</v>
      </c>
      <c r="F1288">
        <v>0</v>
      </c>
    </row>
    <row r="1289" spans="1:6" x14ac:dyDescent="0.25">
      <c r="A1289">
        <v>1</v>
      </c>
      <c r="B1289">
        <v>12</v>
      </c>
      <c r="C1289">
        <v>28.1</v>
      </c>
      <c r="D1289">
        <v>30.9</v>
      </c>
      <c r="E1289">
        <v>77.900000000000006</v>
      </c>
      <c r="F1289">
        <v>1</v>
      </c>
    </row>
    <row r="1290" spans="1:6" x14ac:dyDescent="0.25">
      <c r="A1290">
        <v>0</v>
      </c>
      <c r="B1290">
        <v>16.5</v>
      </c>
      <c r="C1290">
        <v>28</v>
      </c>
      <c r="D1290">
        <v>32.200000000000003</v>
      </c>
      <c r="E1290">
        <v>99.3</v>
      </c>
      <c r="F1290">
        <v>0</v>
      </c>
    </row>
    <row r="1291" spans="1:6" x14ac:dyDescent="0.25">
      <c r="A1291">
        <v>0</v>
      </c>
      <c r="B1291">
        <v>15.2</v>
      </c>
      <c r="C1291">
        <v>21.9</v>
      </c>
      <c r="D1291">
        <v>29.6</v>
      </c>
      <c r="E1291">
        <v>69.5</v>
      </c>
      <c r="F1291">
        <v>0</v>
      </c>
    </row>
    <row r="1292" spans="1:6" x14ac:dyDescent="0.25">
      <c r="A1292">
        <v>1</v>
      </c>
      <c r="B1292">
        <v>13.4</v>
      </c>
      <c r="C1292">
        <v>17.7</v>
      </c>
      <c r="D1292">
        <v>31.6</v>
      </c>
      <c r="E1292">
        <v>97.2</v>
      </c>
      <c r="F1292">
        <v>1</v>
      </c>
    </row>
    <row r="1293" spans="1:6" x14ac:dyDescent="0.25">
      <c r="A1293">
        <v>1</v>
      </c>
      <c r="B1293">
        <v>15.9</v>
      </c>
      <c r="C1293">
        <v>22.4</v>
      </c>
      <c r="D1293">
        <v>28.9</v>
      </c>
      <c r="E1293">
        <v>93</v>
      </c>
      <c r="F1293">
        <v>0</v>
      </c>
    </row>
    <row r="1294" spans="1:6" x14ac:dyDescent="0.25">
      <c r="A1294">
        <v>1</v>
      </c>
      <c r="B1294">
        <v>12.1</v>
      </c>
      <c r="C1294">
        <v>25.9</v>
      </c>
      <c r="D1294">
        <v>29.3</v>
      </c>
      <c r="E1294">
        <v>82.6</v>
      </c>
      <c r="F1294">
        <v>1</v>
      </c>
    </row>
    <row r="1295" spans="1:6" x14ac:dyDescent="0.25">
      <c r="A1295">
        <v>0</v>
      </c>
      <c r="B1295">
        <v>14.5</v>
      </c>
      <c r="C1295">
        <v>24.2</v>
      </c>
      <c r="D1295">
        <v>27.9</v>
      </c>
      <c r="E1295">
        <v>71.7</v>
      </c>
      <c r="F1295">
        <v>0</v>
      </c>
    </row>
    <row r="1296" spans="1:6" x14ac:dyDescent="0.25">
      <c r="A1296">
        <v>0</v>
      </c>
      <c r="B1296">
        <v>13.4</v>
      </c>
      <c r="C1296">
        <v>25.3</v>
      </c>
      <c r="D1296">
        <v>28.6</v>
      </c>
      <c r="E1296">
        <v>83.8</v>
      </c>
      <c r="F1296">
        <v>0</v>
      </c>
    </row>
    <row r="1297" spans="1:6" x14ac:dyDescent="0.25">
      <c r="A1297">
        <v>1</v>
      </c>
      <c r="B1297">
        <v>16.399999999999999</v>
      </c>
      <c r="C1297">
        <v>27.4</v>
      </c>
      <c r="D1297">
        <v>31.9</v>
      </c>
      <c r="E1297">
        <v>100.2</v>
      </c>
      <c r="F1297">
        <v>0</v>
      </c>
    </row>
    <row r="1298" spans="1:6" x14ac:dyDescent="0.25">
      <c r="A1298">
        <v>1</v>
      </c>
      <c r="B1298">
        <v>14.6</v>
      </c>
      <c r="C1298">
        <v>24.1</v>
      </c>
      <c r="D1298">
        <v>30.7</v>
      </c>
      <c r="E1298">
        <v>98.1</v>
      </c>
      <c r="F1298">
        <v>0</v>
      </c>
    </row>
    <row r="1299" spans="1:6" x14ac:dyDescent="0.25">
      <c r="A1299">
        <v>1</v>
      </c>
      <c r="B1299">
        <v>13.8</v>
      </c>
      <c r="C1299">
        <v>21.4</v>
      </c>
      <c r="D1299">
        <v>29.9</v>
      </c>
      <c r="E1299">
        <v>88.4</v>
      </c>
      <c r="F1299">
        <v>0</v>
      </c>
    </row>
    <row r="1300" spans="1:6" x14ac:dyDescent="0.25">
      <c r="A1300">
        <v>1</v>
      </c>
      <c r="B1300">
        <v>12.6</v>
      </c>
      <c r="C1300">
        <v>16.5</v>
      </c>
      <c r="D1300">
        <v>30.4</v>
      </c>
      <c r="E1300">
        <v>77</v>
      </c>
      <c r="F1300">
        <v>1</v>
      </c>
    </row>
    <row r="1301" spans="1:6" x14ac:dyDescent="0.25">
      <c r="A1301">
        <v>0</v>
      </c>
      <c r="B1301">
        <v>11.5</v>
      </c>
      <c r="C1301">
        <v>22</v>
      </c>
      <c r="D1301">
        <v>32.4</v>
      </c>
      <c r="E1301">
        <v>84.2</v>
      </c>
      <c r="F1301">
        <v>1</v>
      </c>
    </row>
    <row r="1302" spans="1:6" x14ac:dyDescent="0.25">
      <c r="A1302">
        <v>1</v>
      </c>
      <c r="B1302">
        <v>12.5</v>
      </c>
      <c r="C1302">
        <v>20.100000000000001</v>
      </c>
      <c r="D1302">
        <v>27.8</v>
      </c>
      <c r="E1302">
        <v>89.2</v>
      </c>
      <c r="F1302">
        <v>1</v>
      </c>
    </row>
    <row r="1303" spans="1:6" x14ac:dyDescent="0.25">
      <c r="A1303">
        <v>1</v>
      </c>
      <c r="B1303">
        <v>16.600000000000001</v>
      </c>
      <c r="C1303">
        <v>22</v>
      </c>
      <c r="D1303">
        <v>29.5</v>
      </c>
      <c r="E1303">
        <v>71</v>
      </c>
      <c r="F1303">
        <v>0</v>
      </c>
    </row>
    <row r="1304" spans="1:6" x14ac:dyDescent="0.25">
      <c r="A1304">
        <v>1</v>
      </c>
      <c r="B1304">
        <v>12.7</v>
      </c>
      <c r="C1304">
        <v>21.1</v>
      </c>
      <c r="D1304">
        <v>32.200000000000003</v>
      </c>
      <c r="E1304">
        <v>94.2</v>
      </c>
      <c r="F1304">
        <v>1</v>
      </c>
    </row>
    <row r="1305" spans="1:6" x14ac:dyDescent="0.25">
      <c r="A1305">
        <v>0</v>
      </c>
      <c r="B1305">
        <v>16.8</v>
      </c>
      <c r="C1305">
        <v>27.4</v>
      </c>
      <c r="D1305">
        <v>32.4</v>
      </c>
      <c r="E1305">
        <v>97.7</v>
      </c>
      <c r="F1305">
        <v>0</v>
      </c>
    </row>
    <row r="1306" spans="1:6" x14ac:dyDescent="0.25">
      <c r="A1306">
        <v>1</v>
      </c>
      <c r="B1306">
        <v>14.3</v>
      </c>
      <c r="C1306">
        <v>21.4</v>
      </c>
      <c r="D1306">
        <v>31.2</v>
      </c>
      <c r="E1306">
        <v>88.5</v>
      </c>
      <c r="F1306">
        <v>0</v>
      </c>
    </row>
    <row r="1307" spans="1:6" x14ac:dyDescent="0.25">
      <c r="A1307">
        <v>0</v>
      </c>
      <c r="B1307">
        <v>10.8</v>
      </c>
      <c r="C1307">
        <v>19</v>
      </c>
      <c r="D1307">
        <v>32.200000000000003</v>
      </c>
      <c r="E1307">
        <v>101.6</v>
      </c>
      <c r="F1307">
        <v>1</v>
      </c>
    </row>
    <row r="1308" spans="1:6" x14ac:dyDescent="0.25">
      <c r="A1308">
        <v>0</v>
      </c>
      <c r="B1308">
        <v>12.6</v>
      </c>
      <c r="C1308">
        <v>16.5</v>
      </c>
      <c r="D1308">
        <v>28.9</v>
      </c>
      <c r="E1308">
        <v>97.5</v>
      </c>
      <c r="F1308">
        <v>0</v>
      </c>
    </row>
    <row r="1309" spans="1:6" x14ac:dyDescent="0.25">
      <c r="A1309">
        <v>0</v>
      </c>
      <c r="B1309">
        <v>16.8</v>
      </c>
      <c r="C1309">
        <v>27.3</v>
      </c>
      <c r="D1309">
        <v>28.9</v>
      </c>
      <c r="E1309">
        <v>70.8</v>
      </c>
      <c r="F1309">
        <v>0</v>
      </c>
    </row>
    <row r="1310" spans="1:6" x14ac:dyDescent="0.25">
      <c r="A1310">
        <v>1</v>
      </c>
      <c r="B1310">
        <v>10.7</v>
      </c>
      <c r="C1310">
        <v>24.7</v>
      </c>
      <c r="D1310">
        <v>29.1</v>
      </c>
      <c r="E1310">
        <v>78.7</v>
      </c>
      <c r="F1310">
        <v>1</v>
      </c>
    </row>
    <row r="1311" spans="1:6" x14ac:dyDescent="0.25">
      <c r="A1311">
        <v>1</v>
      </c>
      <c r="B1311">
        <v>15.9</v>
      </c>
      <c r="C1311">
        <v>18.2</v>
      </c>
      <c r="D1311">
        <v>30.3</v>
      </c>
      <c r="E1311">
        <v>82.7</v>
      </c>
      <c r="F1311">
        <v>0</v>
      </c>
    </row>
    <row r="1312" spans="1:6" x14ac:dyDescent="0.25">
      <c r="A1312">
        <v>0</v>
      </c>
      <c r="B1312">
        <v>10.7</v>
      </c>
      <c r="C1312">
        <v>19.399999999999999</v>
      </c>
      <c r="D1312">
        <v>29.2</v>
      </c>
      <c r="E1312">
        <v>93.7</v>
      </c>
      <c r="F1312">
        <v>1</v>
      </c>
    </row>
    <row r="1313" spans="1:6" x14ac:dyDescent="0.25">
      <c r="A1313">
        <v>0</v>
      </c>
      <c r="B1313">
        <v>11.4</v>
      </c>
      <c r="C1313">
        <v>16.2</v>
      </c>
      <c r="D1313">
        <v>29.8</v>
      </c>
      <c r="E1313">
        <v>97</v>
      </c>
      <c r="F1313">
        <v>1</v>
      </c>
    </row>
    <row r="1314" spans="1:6" x14ac:dyDescent="0.25">
      <c r="A1314">
        <v>1</v>
      </c>
      <c r="B1314">
        <v>16.100000000000001</v>
      </c>
      <c r="C1314">
        <v>26.1</v>
      </c>
      <c r="D1314">
        <v>31.4</v>
      </c>
      <c r="E1314">
        <v>93.7</v>
      </c>
      <c r="F1314">
        <v>0</v>
      </c>
    </row>
    <row r="1315" spans="1:6" x14ac:dyDescent="0.25">
      <c r="A1315">
        <v>0</v>
      </c>
      <c r="B1315">
        <v>14.5</v>
      </c>
      <c r="C1315">
        <v>27.4</v>
      </c>
      <c r="D1315">
        <v>28.4</v>
      </c>
      <c r="E1315">
        <v>78.400000000000006</v>
      </c>
      <c r="F1315">
        <v>0</v>
      </c>
    </row>
    <row r="1316" spans="1:6" x14ac:dyDescent="0.25">
      <c r="A1316">
        <v>1</v>
      </c>
      <c r="B1316">
        <v>16.2</v>
      </c>
      <c r="C1316">
        <v>17.899999999999999</v>
      </c>
      <c r="D1316">
        <v>27.8</v>
      </c>
      <c r="E1316">
        <v>74.3</v>
      </c>
      <c r="F1316">
        <v>0</v>
      </c>
    </row>
    <row r="1317" spans="1:6" x14ac:dyDescent="0.25">
      <c r="A1317">
        <v>0</v>
      </c>
      <c r="B1317">
        <v>16.2</v>
      </c>
      <c r="C1317">
        <v>25.1</v>
      </c>
      <c r="D1317">
        <v>29.9</v>
      </c>
      <c r="E1317">
        <v>81.599999999999994</v>
      </c>
      <c r="F1317">
        <v>0</v>
      </c>
    </row>
    <row r="1318" spans="1:6" x14ac:dyDescent="0.25">
      <c r="A1318">
        <v>1</v>
      </c>
      <c r="B1318">
        <v>12.2</v>
      </c>
      <c r="C1318">
        <v>23.4</v>
      </c>
      <c r="D1318">
        <v>32</v>
      </c>
      <c r="E1318">
        <v>86</v>
      </c>
      <c r="F1318">
        <v>1</v>
      </c>
    </row>
    <row r="1319" spans="1:6" x14ac:dyDescent="0.25">
      <c r="A1319">
        <v>1</v>
      </c>
      <c r="B1319">
        <v>15</v>
      </c>
      <c r="C1319">
        <v>20.8</v>
      </c>
      <c r="D1319">
        <v>32.299999999999997</v>
      </c>
      <c r="E1319">
        <v>88.7</v>
      </c>
      <c r="F1319">
        <v>0</v>
      </c>
    </row>
    <row r="1320" spans="1:6" x14ac:dyDescent="0.25">
      <c r="A1320">
        <v>1</v>
      </c>
      <c r="B1320">
        <v>11.6</v>
      </c>
      <c r="C1320">
        <v>18</v>
      </c>
      <c r="D1320">
        <v>32.200000000000003</v>
      </c>
      <c r="E1320">
        <v>98.9</v>
      </c>
      <c r="F1320">
        <v>1</v>
      </c>
    </row>
    <row r="1321" spans="1:6" x14ac:dyDescent="0.25">
      <c r="A1321">
        <v>1</v>
      </c>
      <c r="B1321">
        <v>11.2</v>
      </c>
      <c r="C1321">
        <v>27.8</v>
      </c>
      <c r="D1321">
        <v>32.200000000000003</v>
      </c>
      <c r="E1321">
        <v>95.8</v>
      </c>
      <c r="F1321">
        <v>1</v>
      </c>
    </row>
    <row r="1322" spans="1:6" x14ac:dyDescent="0.25">
      <c r="A1322">
        <v>0</v>
      </c>
      <c r="B1322">
        <v>11.7</v>
      </c>
      <c r="C1322">
        <v>16.8</v>
      </c>
      <c r="D1322">
        <v>32.200000000000003</v>
      </c>
      <c r="E1322">
        <v>73.599999999999994</v>
      </c>
      <c r="F1322">
        <v>1</v>
      </c>
    </row>
    <row r="1323" spans="1:6" x14ac:dyDescent="0.25">
      <c r="A1323">
        <v>0</v>
      </c>
      <c r="B1323">
        <v>16.399999999999999</v>
      </c>
      <c r="C1323">
        <v>27.2</v>
      </c>
      <c r="D1323">
        <v>31.4</v>
      </c>
      <c r="E1323">
        <v>70.599999999999994</v>
      </c>
      <c r="F1323">
        <v>0</v>
      </c>
    </row>
    <row r="1324" spans="1:6" x14ac:dyDescent="0.25">
      <c r="A1324">
        <v>0</v>
      </c>
      <c r="B1324">
        <v>15.5</v>
      </c>
      <c r="C1324">
        <v>19.3</v>
      </c>
      <c r="D1324">
        <v>32.5</v>
      </c>
      <c r="E1324">
        <v>97.5</v>
      </c>
      <c r="F1324">
        <v>0</v>
      </c>
    </row>
    <row r="1325" spans="1:6" x14ac:dyDescent="0.25">
      <c r="A1325">
        <v>0</v>
      </c>
      <c r="B1325">
        <v>13.3</v>
      </c>
      <c r="C1325">
        <v>19.100000000000001</v>
      </c>
      <c r="D1325">
        <v>30.9</v>
      </c>
      <c r="E1325">
        <v>97.9</v>
      </c>
      <c r="F1325">
        <v>0</v>
      </c>
    </row>
    <row r="1326" spans="1:6" x14ac:dyDescent="0.25">
      <c r="A1326">
        <v>1</v>
      </c>
      <c r="B1326">
        <v>16.100000000000001</v>
      </c>
      <c r="C1326">
        <v>21.9</v>
      </c>
      <c r="D1326">
        <v>32.5</v>
      </c>
      <c r="E1326">
        <v>100.7</v>
      </c>
      <c r="F1326">
        <v>0</v>
      </c>
    </row>
    <row r="1327" spans="1:6" x14ac:dyDescent="0.25">
      <c r="A1327">
        <v>0</v>
      </c>
      <c r="B1327">
        <v>11.1</v>
      </c>
      <c r="C1327">
        <v>24.7</v>
      </c>
      <c r="D1327">
        <v>32.1</v>
      </c>
      <c r="E1327">
        <v>96.7</v>
      </c>
      <c r="F1327">
        <v>1</v>
      </c>
    </row>
    <row r="1328" spans="1:6" x14ac:dyDescent="0.25">
      <c r="A1328">
        <v>1</v>
      </c>
      <c r="B1328">
        <v>10.8</v>
      </c>
      <c r="C1328">
        <v>19.8</v>
      </c>
      <c r="D1328">
        <v>30.8</v>
      </c>
      <c r="E1328">
        <v>99.6</v>
      </c>
      <c r="F1328">
        <v>1</v>
      </c>
    </row>
    <row r="1329" spans="1:6" x14ac:dyDescent="0.25">
      <c r="A1329">
        <v>0</v>
      </c>
      <c r="B1329">
        <v>10.9</v>
      </c>
      <c r="C1329">
        <v>28.6</v>
      </c>
      <c r="D1329">
        <v>28.6</v>
      </c>
      <c r="E1329">
        <v>84.8</v>
      </c>
      <c r="F1329">
        <v>1</v>
      </c>
    </row>
    <row r="1330" spans="1:6" x14ac:dyDescent="0.25">
      <c r="A1330">
        <v>0</v>
      </c>
      <c r="B1330">
        <v>15.8</v>
      </c>
      <c r="C1330">
        <v>25.5</v>
      </c>
      <c r="D1330">
        <v>28.9</v>
      </c>
      <c r="E1330">
        <v>72.599999999999994</v>
      </c>
      <c r="F1330">
        <v>0</v>
      </c>
    </row>
    <row r="1331" spans="1:6" x14ac:dyDescent="0.25">
      <c r="A1331">
        <v>1</v>
      </c>
      <c r="B1331">
        <v>13.3</v>
      </c>
      <c r="C1331">
        <v>28.5</v>
      </c>
      <c r="D1331">
        <v>29</v>
      </c>
      <c r="E1331">
        <v>87.7</v>
      </c>
      <c r="F1331">
        <v>1</v>
      </c>
    </row>
    <row r="1332" spans="1:6" x14ac:dyDescent="0.25">
      <c r="A1332">
        <v>1</v>
      </c>
      <c r="B1332">
        <v>16.8</v>
      </c>
      <c r="C1332">
        <v>22.7</v>
      </c>
      <c r="D1332">
        <v>32</v>
      </c>
      <c r="E1332">
        <v>94.3</v>
      </c>
      <c r="F1332">
        <v>0</v>
      </c>
    </row>
    <row r="1333" spans="1:6" x14ac:dyDescent="0.25">
      <c r="A1333">
        <v>1</v>
      </c>
      <c r="B1333">
        <v>11.1</v>
      </c>
      <c r="C1333">
        <v>28</v>
      </c>
      <c r="D1333">
        <v>30.8</v>
      </c>
      <c r="E1333">
        <v>77.3</v>
      </c>
      <c r="F1333">
        <v>1</v>
      </c>
    </row>
    <row r="1334" spans="1:6" x14ac:dyDescent="0.25">
      <c r="A1334">
        <v>0</v>
      </c>
      <c r="B1334">
        <v>12.5</v>
      </c>
      <c r="C1334">
        <v>29.7</v>
      </c>
      <c r="D1334">
        <v>30.6</v>
      </c>
      <c r="E1334">
        <v>90.5</v>
      </c>
      <c r="F1334">
        <v>0</v>
      </c>
    </row>
    <row r="1335" spans="1:6" x14ac:dyDescent="0.25">
      <c r="A1335">
        <v>1</v>
      </c>
      <c r="B1335">
        <v>12.5</v>
      </c>
      <c r="C1335">
        <v>25.2</v>
      </c>
      <c r="D1335">
        <v>28.3</v>
      </c>
      <c r="E1335">
        <v>73.599999999999994</v>
      </c>
      <c r="F1335">
        <v>1</v>
      </c>
    </row>
    <row r="1336" spans="1:6" x14ac:dyDescent="0.25">
      <c r="A1336">
        <v>0</v>
      </c>
      <c r="B1336">
        <v>10.8</v>
      </c>
      <c r="C1336">
        <v>19.7</v>
      </c>
      <c r="D1336">
        <v>29.5</v>
      </c>
      <c r="E1336">
        <v>93</v>
      </c>
      <c r="F1336">
        <v>1</v>
      </c>
    </row>
    <row r="1337" spans="1:6" x14ac:dyDescent="0.25">
      <c r="A1337">
        <v>1</v>
      </c>
      <c r="B1337">
        <v>10.5</v>
      </c>
      <c r="C1337">
        <v>23</v>
      </c>
      <c r="D1337">
        <v>30.4</v>
      </c>
      <c r="E1337">
        <v>100.1</v>
      </c>
      <c r="F1337">
        <v>1</v>
      </c>
    </row>
    <row r="1338" spans="1:6" x14ac:dyDescent="0.25">
      <c r="A1338">
        <v>1</v>
      </c>
      <c r="B1338">
        <v>11.9</v>
      </c>
      <c r="C1338">
        <v>25.9</v>
      </c>
      <c r="D1338">
        <v>32</v>
      </c>
      <c r="E1338">
        <v>83.2</v>
      </c>
      <c r="F1338">
        <v>1</v>
      </c>
    </row>
    <row r="1339" spans="1:6" x14ac:dyDescent="0.25">
      <c r="A1339">
        <v>1</v>
      </c>
      <c r="B1339">
        <v>13.2</v>
      </c>
      <c r="C1339">
        <v>17.8</v>
      </c>
      <c r="D1339">
        <v>29.6</v>
      </c>
      <c r="E1339">
        <v>71.2</v>
      </c>
      <c r="F1339">
        <v>1</v>
      </c>
    </row>
    <row r="1340" spans="1:6" x14ac:dyDescent="0.25">
      <c r="A1340">
        <v>1</v>
      </c>
      <c r="B1340">
        <v>14.8</v>
      </c>
      <c r="C1340">
        <v>29.6</v>
      </c>
      <c r="D1340">
        <v>31.7</v>
      </c>
      <c r="E1340">
        <v>91.6</v>
      </c>
      <c r="F1340">
        <v>0</v>
      </c>
    </row>
    <row r="1341" spans="1:6" x14ac:dyDescent="0.25">
      <c r="A1341">
        <v>0</v>
      </c>
      <c r="B1341">
        <v>11.4</v>
      </c>
      <c r="C1341">
        <v>16.5</v>
      </c>
      <c r="D1341">
        <v>29.8</v>
      </c>
      <c r="E1341">
        <v>100.3</v>
      </c>
      <c r="F1341">
        <v>1</v>
      </c>
    </row>
    <row r="1342" spans="1:6" x14ac:dyDescent="0.25">
      <c r="A1342">
        <v>1</v>
      </c>
      <c r="B1342">
        <v>10.9</v>
      </c>
      <c r="C1342">
        <v>27.1</v>
      </c>
      <c r="D1342">
        <v>30</v>
      </c>
      <c r="E1342">
        <v>93.2</v>
      </c>
      <c r="F1342">
        <v>1</v>
      </c>
    </row>
    <row r="1343" spans="1:6" x14ac:dyDescent="0.25">
      <c r="A1343">
        <v>0</v>
      </c>
      <c r="B1343">
        <v>14.8</v>
      </c>
      <c r="C1343">
        <v>16.2</v>
      </c>
      <c r="D1343">
        <v>28.9</v>
      </c>
      <c r="E1343">
        <v>75.8</v>
      </c>
      <c r="F1343">
        <v>0</v>
      </c>
    </row>
    <row r="1344" spans="1:6" x14ac:dyDescent="0.25">
      <c r="A1344">
        <v>1</v>
      </c>
      <c r="B1344">
        <v>15.5</v>
      </c>
      <c r="C1344">
        <v>23.1</v>
      </c>
      <c r="D1344">
        <v>29.1</v>
      </c>
      <c r="E1344">
        <v>72.900000000000006</v>
      </c>
      <c r="F1344">
        <v>0</v>
      </c>
    </row>
    <row r="1345" spans="1:6" x14ac:dyDescent="0.25">
      <c r="A1345">
        <v>1</v>
      </c>
      <c r="B1345">
        <v>15.9</v>
      </c>
      <c r="C1345">
        <v>21.6</v>
      </c>
      <c r="D1345">
        <v>32.4</v>
      </c>
      <c r="E1345">
        <v>83.7</v>
      </c>
      <c r="F1345">
        <v>0</v>
      </c>
    </row>
    <row r="1346" spans="1:6" x14ac:dyDescent="0.25">
      <c r="A1346">
        <v>1</v>
      </c>
      <c r="B1346">
        <v>16.7</v>
      </c>
      <c r="C1346">
        <v>22.8</v>
      </c>
      <c r="D1346">
        <v>32.5</v>
      </c>
      <c r="E1346">
        <v>81.900000000000006</v>
      </c>
      <c r="F1346">
        <v>0</v>
      </c>
    </row>
    <row r="1347" spans="1:6" x14ac:dyDescent="0.25">
      <c r="A1347">
        <v>1</v>
      </c>
      <c r="B1347">
        <v>12.5</v>
      </c>
      <c r="C1347">
        <v>19.399999999999999</v>
      </c>
      <c r="D1347">
        <v>29.2</v>
      </c>
      <c r="E1347">
        <v>97.4</v>
      </c>
      <c r="F1347">
        <v>1</v>
      </c>
    </row>
    <row r="1348" spans="1:6" x14ac:dyDescent="0.25">
      <c r="A1348">
        <v>0</v>
      </c>
      <c r="B1348">
        <v>13.3</v>
      </c>
      <c r="C1348">
        <v>26.3</v>
      </c>
      <c r="D1348">
        <v>30</v>
      </c>
      <c r="E1348">
        <v>100</v>
      </c>
      <c r="F1348">
        <v>0</v>
      </c>
    </row>
    <row r="1349" spans="1:6" x14ac:dyDescent="0.25">
      <c r="A1349">
        <v>0</v>
      </c>
      <c r="B1349">
        <v>13.8</v>
      </c>
      <c r="C1349">
        <v>21</v>
      </c>
      <c r="D1349">
        <v>28.6</v>
      </c>
      <c r="E1349">
        <v>80.8</v>
      </c>
      <c r="F1349">
        <v>0</v>
      </c>
    </row>
    <row r="1350" spans="1:6" x14ac:dyDescent="0.25">
      <c r="A1350">
        <v>0</v>
      </c>
      <c r="B1350">
        <v>12.3</v>
      </c>
      <c r="C1350">
        <v>23</v>
      </c>
      <c r="D1350">
        <v>29.3</v>
      </c>
      <c r="E1350">
        <v>85.8</v>
      </c>
      <c r="F1350">
        <v>0</v>
      </c>
    </row>
    <row r="1351" spans="1:6" x14ac:dyDescent="0.25">
      <c r="A1351">
        <v>0</v>
      </c>
      <c r="B1351">
        <v>11.2</v>
      </c>
      <c r="C1351">
        <v>23.1</v>
      </c>
      <c r="D1351">
        <v>30.3</v>
      </c>
      <c r="E1351">
        <v>75.2</v>
      </c>
      <c r="F1351">
        <v>1</v>
      </c>
    </row>
    <row r="1352" spans="1:6" x14ac:dyDescent="0.25">
      <c r="A1352">
        <v>0</v>
      </c>
      <c r="B1352">
        <v>10.7</v>
      </c>
      <c r="C1352">
        <v>22.8</v>
      </c>
      <c r="D1352">
        <v>30.5</v>
      </c>
      <c r="E1352">
        <v>81.3</v>
      </c>
      <c r="F1352">
        <v>1</v>
      </c>
    </row>
    <row r="1353" spans="1:6" x14ac:dyDescent="0.25">
      <c r="A1353">
        <v>0</v>
      </c>
      <c r="B1353">
        <v>15</v>
      </c>
      <c r="C1353">
        <v>21.8</v>
      </c>
      <c r="D1353">
        <v>28.8</v>
      </c>
      <c r="E1353">
        <v>95.2</v>
      </c>
      <c r="F1353">
        <v>0</v>
      </c>
    </row>
    <row r="1354" spans="1:6" x14ac:dyDescent="0.25">
      <c r="A1354">
        <v>1</v>
      </c>
      <c r="B1354">
        <v>11.8</v>
      </c>
      <c r="C1354">
        <v>28.5</v>
      </c>
      <c r="D1354">
        <v>31.8</v>
      </c>
      <c r="E1354">
        <v>89.7</v>
      </c>
      <c r="F1354">
        <v>1</v>
      </c>
    </row>
    <row r="1355" spans="1:6" x14ac:dyDescent="0.25">
      <c r="A1355">
        <v>0</v>
      </c>
      <c r="B1355">
        <v>16.8</v>
      </c>
      <c r="C1355">
        <v>24.9</v>
      </c>
      <c r="D1355">
        <v>32</v>
      </c>
      <c r="E1355">
        <v>80.599999999999994</v>
      </c>
      <c r="F1355">
        <v>0</v>
      </c>
    </row>
    <row r="1356" spans="1:6" x14ac:dyDescent="0.25">
      <c r="A1356">
        <v>0</v>
      </c>
      <c r="B1356">
        <v>16.8</v>
      </c>
      <c r="C1356">
        <v>22.3</v>
      </c>
      <c r="D1356">
        <v>30.8</v>
      </c>
      <c r="E1356">
        <v>76.7</v>
      </c>
      <c r="F1356">
        <v>0</v>
      </c>
    </row>
    <row r="1357" spans="1:6" x14ac:dyDescent="0.25">
      <c r="A1357">
        <v>1</v>
      </c>
      <c r="B1357">
        <v>10.8</v>
      </c>
      <c r="C1357">
        <v>28</v>
      </c>
      <c r="D1357">
        <v>28.8</v>
      </c>
      <c r="E1357">
        <v>90.6</v>
      </c>
      <c r="F1357">
        <v>1</v>
      </c>
    </row>
    <row r="1358" spans="1:6" x14ac:dyDescent="0.25">
      <c r="A1358">
        <v>1</v>
      </c>
      <c r="B1358">
        <v>15.2</v>
      </c>
      <c r="C1358">
        <v>24.9</v>
      </c>
      <c r="D1358">
        <v>28.4</v>
      </c>
      <c r="E1358">
        <v>90.1</v>
      </c>
      <c r="F1358">
        <v>0</v>
      </c>
    </row>
    <row r="1359" spans="1:6" x14ac:dyDescent="0.25">
      <c r="A1359">
        <v>1</v>
      </c>
      <c r="B1359">
        <v>11.4</v>
      </c>
      <c r="C1359">
        <v>29.3</v>
      </c>
      <c r="D1359">
        <v>28.7</v>
      </c>
      <c r="E1359">
        <v>95.8</v>
      </c>
      <c r="F1359">
        <v>1</v>
      </c>
    </row>
    <row r="1360" spans="1:6" x14ac:dyDescent="0.25">
      <c r="A1360">
        <v>1</v>
      </c>
      <c r="B1360">
        <v>16.100000000000001</v>
      </c>
      <c r="C1360">
        <v>25.9</v>
      </c>
      <c r="D1360">
        <v>31.7</v>
      </c>
      <c r="E1360">
        <v>78</v>
      </c>
      <c r="F1360">
        <v>0</v>
      </c>
    </row>
    <row r="1361" spans="1:6" x14ac:dyDescent="0.25">
      <c r="A1361">
        <v>1</v>
      </c>
      <c r="B1361">
        <v>10.8</v>
      </c>
      <c r="C1361">
        <v>17.5</v>
      </c>
      <c r="D1361">
        <v>29.3</v>
      </c>
      <c r="E1361">
        <v>95.8</v>
      </c>
      <c r="F1361">
        <v>1</v>
      </c>
    </row>
    <row r="1362" spans="1:6" x14ac:dyDescent="0.25">
      <c r="A1362">
        <v>0</v>
      </c>
      <c r="B1362">
        <v>10.6</v>
      </c>
      <c r="C1362">
        <v>28</v>
      </c>
      <c r="D1362">
        <v>30.7</v>
      </c>
      <c r="E1362">
        <v>90.9</v>
      </c>
      <c r="F1362">
        <v>1</v>
      </c>
    </row>
    <row r="1363" spans="1:6" x14ac:dyDescent="0.25">
      <c r="A1363">
        <v>1</v>
      </c>
      <c r="B1363">
        <v>12.6</v>
      </c>
      <c r="C1363">
        <v>19.100000000000001</v>
      </c>
      <c r="D1363">
        <v>31.5</v>
      </c>
      <c r="E1363">
        <v>85.9</v>
      </c>
      <c r="F1363">
        <v>1</v>
      </c>
    </row>
    <row r="1364" spans="1:6" x14ac:dyDescent="0.25">
      <c r="A1364">
        <v>1</v>
      </c>
      <c r="B1364">
        <v>13.4</v>
      </c>
      <c r="C1364">
        <v>17.8</v>
      </c>
      <c r="D1364">
        <v>32.299999999999997</v>
      </c>
      <c r="E1364">
        <v>101.3</v>
      </c>
      <c r="F1364">
        <v>1</v>
      </c>
    </row>
    <row r="1365" spans="1:6" x14ac:dyDescent="0.25">
      <c r="A1365">
        <v>0</v>
      </c>
      <c r="B1365">
        <v>16.600000000000001</v>
      </c>
      <c r="C1365">
        <v>21.7</v>
      </c>
      <c r="D1365">
        <v>30.8</v>
      </c>
      <c r="E1365">
        <v>88.1</v>
      </c>
      <c r="F1365">
        <v>0</v>
      </c>
    </row>
    <row r="1366" spans="1:6" x14ac:dyDescent="0.25">
      <c r="A1366">
        <v>1</v>
      </c>
      <c r="B1366">
        <v>13.3</v>
      </c>
      <c r="C1366">
        <v>25.4</v>
      </c>
      <c r="D1366">
        <v>30.8</v>
      </c>
      <c r="E1366">
        <v>82.9</v>
      </c>
      <c r="F1366">
        <v>1</v>
      </c>
    </row>
    <row r="1367" spans="1:6" x14ac:dyDescent="0.25">
      <c r="A1367">
        <v>1</v>
      </c>
      <c r="B1367">
        <v>14.6</v>
      </c>
      <c r="C1367">
        <v>25.5</v>
      </c>
      <c r="D1367">
        <v>31.8</v>
      </c>
      <c r="E1367">
        <v>83.5</v>
      </c>
      <c r="F1367">
        <v>0</v>
      </c>
    </row>
    <row r="1368" spans="1:6" x14ac:dyDescent="0.25">
      <c r="A1368">
        <v>0</v>
      </c>
      <c r="B1368">
        <v>13.4</v>
      </c>
      <c r="C1368">
        <v>26.3</v>
      </c>
      <c r="D1368">
        <v>28.5</v>
      </c>
      <c r="E1368">
        <v>84.6</v>
      </c>
      <c r="F1368">
        <v>0</v>
      </c>
    </row>
    <row r="1369" spans="1:6" x14ac:dyDescent="0.25">
      <c r="A1369">
        <v>0</v>
      </c>
      <c r="B1369">
        <v>13</v>
      </c>
      <c r="C1369">
        <v>28.3</v>
      </c>
      <c r="D1369">
        <v>30</v>
      </c>
      <c r="E1369">
        <v>83</v>
      </c>
      <c r="F1369">
        <v>0</v>
      </c>
    </row>
    <row r="1370" spans="1:6" x14ac:dyDescent="0.25">
      <c r="A1370">
        <v>1</v>
      </c>
      <c r="B1370">
        <v>12.8</v>
      </c>
      <c r="C1370">
        <v>21.6</v>
      </c>
      <c r="D1370">
        <v>28.3</v>
      </c>
      <c r="E1370">
        <v>81.2</v>
      </c>
      <c r="F1370">
        <v>1</v>
      </c>
    </row>
    <row r="1371" spans="1:6" x14ac:dyDescent="0.25">
      <c r="A1371">
        <v>0</v>
      </c>
      <c r="B1371">
        <v>10.6</v>
      </c>
      <c r="C1371">
        <v>25.6</v>
      </c>
      <c r="D1371">
        <v>28</v>
      </c>
      <c r="E1371">
        <v>72.099999999999994</v>
      </c>
      <c r="F1371">
        <v>1</v>
      </c>
    </row>
    <row r="1372" spans="1:6" x14ac:dyDescent="0.25">
      <c r="A1372">
        <v>0</v>
      </c>
      <c r="B1372">
        <v>14.3</v>
      </c>
      <c r="C1372">
        <v>27.6</v>
      </c>
      <c r="D1372">
        <v>32.299999999999997</v>
      </c>
      <c r="E1372">
        <v>74.3</v>
      </c>
      <c r="F1372">
        <v>0</v>
      </c>
    </row>
    <row r="1373" spans="1:6" x14ac:dyDescent="0.25">
      <c r="A1373">
        <v>1</v>
      </c>
      <c r="B1373">
        <v>13.1</v>
      </c>
      <c r="C1373">
        <v>26.9</v>
      </c>
      <c r="D1373">
        <v>29.5</v>
      </c>
      <c r="E1373">
        <v>77.599999999999994</v>
      </c>
      <c r="F1373">
        <v>1</v>
      </c>
    </row>
    <row r="1374" spans="1:6" x14ac:dyDescent="0.25">
      <c r="A1374">
        <v>0</v>
      </c>
      <c r="B1374">
        <v>13.1</v>
      </c>
      <c r="C1374">
        <v>27</v>
      </c>
      <c r="D1374">
        <v>32.4</v>
      </c>
      <c r="E1374">
        <v>97.8</v>
      </c>
      <c r="F1374">
        <v>0</v>
      </c>
    </row>
    <row r="1375" spans="1:6" x14ac:dyDescent="0.25">
      <c r="A1375">
        <v>0</v>
      </c>
      <c r="B1375">
        <v>15.5</v>
      </c>
      <c r="C1375">
        <v>26.9</v>
      </c>
      <c r="D1375">
        <v>28</v>
      </c>
      <c r="E1375">
        <v>72.7</v>
      </c>
      <c r="F1375">
        <v>0</v>
      </c>
    </row>
    <row r="1376" spans="1:6" x14ac:dyDescent="0.25">
      <c r="A1376">
        <v>0</v>
      </c>
      <c r="B1376">
        <v>14</v>
      </c>
      <c r="C1376">
        <v>26.9</v>
      </c>
      <c r="D1376">
        <v>28</v>
      </c>
      <c r="E1376">
        <v>89.9</v>
      </c>
      <c r="F1376">
        <v>0</v>
      </c>
    </row>
    <row r="1377" spans="1:6" x14ac:dyDescent="0.25">
      <c r="A1377">
        <v>1</v>
      </c>
      <c r="B1377">
        <v>15.3</v>
      </c>
      <c r="C1377">
        <v>28.9</v>
      </c>
      <c r="D1377">
        <v>31.6</v>
      </c>
      <c r="E1377">
        <v>76.3</v>
      </c>
      <c r="F1377">
        <v>0</v>
      </c>
    </row>
    <row r="1378" spans="1:6" x14ac:dyDescent="0.25">
      <c r="A1378">
        <v>1</v>
      </c>
      <c r="B1378">
        <v>13.2</v>
      </c>
      <c r="C1378">
        <v>20.399999999999999</v>
      </c>
      <c r="D1378">
        <v>28</v>
      </c>
      <c r="E1378">
        <v>97.4</v>
      </c>
      <c r="F1378">
        <v>1</v>
      </c>
    </row>
    <row r="1379" spans="1:6" x14ac:dyDescent="0.25">
      <c r="A1379">
        <v>0</v>
      </c>
      <c r="B1379">
        <v>11.1</v>
      </c>
      <c r="C1379">
        <v>16.100000000000001</v>
      </c>
      <c r="D1379">
        <v>32.5</v>
      </c>
      <c r="E1379">
        <v>77.099999999999994</v>
      </c>
      <c r="F1379">
        <v>1</v>
      </c>
    </row>
    <row r="1380" spans="1:6" x14ac:dyDescent="0.25">
      <c r="A1380">
        <v>1</v>
      </c>
      <c r="B1380">
        <v>14.4</v>
      </c>
      <c r="C1380">
        <v>18.100000000000001</v>
      </c>
      <c r="D1380">
        <v>28.7</v>
      </c>
      <c r="E1380">
        <v>80.2</v>
      </c>
      <c r="F1380">
        <v>0</v>
      </c>
    </row>
    <row r="1381" spans="1:6" x14ac:dyDescent="0.25">
      <c r="A1381">
        <v>0</v>
      </c>
      <c r="B1381">
        <v>12</v>
      </c>
      <c r="C1381">
        <v>19.399999999999999</v>
      </c>
      <c r="D1381">
        <v>29.6</v>
      </c>
      <c r="E1381">
        <v>71.5</v>
      </c>
      <c r="F1381">
        <v>0</v>
      </c>
    </row>
    <row r="1382" spans="1:6" x14ac:dyDescent="0.25">
      <c r="A1382">
        <v>0</v>
      </c>
      <c r="B1382">
        <v>11.7</v>
      </c>
      <c r="C1382">
        <v>19.899999999999999</v>
      </c>
      <c r="D1382">
        <v>28.9</v>
      </c>
      <c r="E1382">
        <v>71.599999999999994</v>
      </c>
      <c r="F1382">
        <v>1</v>
      </c>
    </row>
    <row r="1383" spans="1:6" x14ac:dyDescent="0.25">
      <c r="A1383">
        <v>1</v>
      </c>
      <c r="B1383">
        <v>12.7</v>
      </c>
      <c r="C1383">
        <v>22.5</v>
      </c>
      <c r="D1383">
        <v>28.3</v>
      </c>
      <c r="E1383">
        <v>93.5</v>
      </c>
      <c r="F1383">
        <v>1</v>
      </c>
    </row>
    <row r="1384" spans="1:6" x14ac:dyDescent="0.25">
      <c r="A1384">
        <v>1</v>
      </c>
      <c r="B1384">
        <v>12.2</v>
      </c>
      <c r="C1384">
        <v>20.100000000000001</v>
      </c>
      <c r="D1384">
        <v>29.8</v>
      </c>
      <c r="E1384">
        <v>72.599999999999994</v>
      </c>
      <c r="F1384">
        <v>1</v>
      </c>
    </row>
    <row r="1385" spans="1:6" x14ac:dyDescent="0.25">
      <c r="A1385">
        <v>1</v>
      </c>
      <c r="B1385">
        <v>15.2</v>
      </c>
      <c r="C1385">
        <v>19.5</v>
      </c>
      <c r="D1385">
        <v>28.3</v>
      </c>
      <c r="E1385">
        <v>74.099999999999994</v>
      </c>
      <c r="F1385">
        <v>0</v>
      </c>
    </row>
    <row r="1386" spans="1:6" x14ac:dyDescent="0.25">
      <c r="A1386">
        <v>0</v>
      </c>
      <c r="B1386">
        <v>12</v>
      </c>
      <c r="C1386">
        <v>21.5</v>
      </c>
      <c r="D1386">
        <v>29.1</v>
      </c>
      <c r="E1386">
        <v>101.1</v>
      </c>
      <c r="F1386">
        <v>0</v>
      </c>
    </row>
    <row r="1387" spans="1:6" x14ac:dyDescent="0.25">
      <c r="A1387">
        <v>1</v>
      </c>
      <c r="B1387">
        <v>11.5</v>
      </c>
      <c r="C1387">
        <v>17.399999999999999</v>
      </c>
      <c r="D1387">
        <v>32.1</v>
      </c>
      <c r="E1387">
        <v>87.3</v>
      </c>
      <c r="F1387">
        <v>1</v>
      </c>
    </row>
    <row r="1388" spans="1:6" x14ac:dyDescent="0.25">
      <c r="A1388">
        <v>1</v>
      </c>
      <c r="B1388">
        <v>15.1</v>
      </c>
      <c r="C1388">
        <v>24.3</v>
      </c>
      <c r="D1388">
        <v>31.4</v>
      </c>
      <c r="E1388">
        <v>76.099999999999994</v>
      </c>
      <c r="F1388">
        <v>0</v>
      </c>
    </row>
    <row r="1389" spans="1:6" x14ac:dyDescent="0.25">
      <c r="A1389">
        <v>0</v>
      </c>
      <c r="B1389">
        <v>11.5</v>
      </c>
      <c r="C1389">
        <v>18.899999999999999</v>
      </c>
      <c r="D1389">
        <v>31.2</v>
      </c>
      <c r="E1389">
        <v>81.3</v>
      </c>
      <c r="F1389">
        <v>1</v>
      </c>
    </row>
    <row r="1390" spans="1:6" x14ac:dyDescent="0.25">
      <c r="A1390">
        <v>0</v>
      </c>
      <c r="B1390">
        <v>12.8</v>
      </c>
      <c r="C1390">
        <v>29.2</v>
      </c>
      <c r="D1390">
        <v>32.1</v>
      </c>
      <c r="E1390">
        <v>89.8</v>
      </c>
      <c r="F1390">
        <v>0</v>
      </c>
    </row>
    <row r="1391" spans="1:6" x14ac:dyDescent="0.25">
      <c r="A1391">
        <v>1</v>
      </c>
      <c r="B1391">
        <v>15.1</v>
      </c>
      <c r="C1391">
        <v>21.6</v>
      </c>
      <c r="D1391">
        <v>28.4</v>
      </c>
      <c r="E1391">
        <v>100</v>
      </c>
      <c r="F1391">
        <v>0</v>
      </c>
    </row>
    <row r="1392" spans="1:6" x14ac:dyDescent="0.25">
      <c r="A1392">
        <v>1</v>
      </c>
      <c r="B1392">
        <v>11.5</v>
      </c>
      <c r="C1392">
        <v>19.2</v>
      </c>
      <c r="D1392">
        <v>30.8</v>
      </c>
      <c r="E1392">
        <v>78.2</v>
      </c>
      <c r="F1392">
        <v>1</v>
      </c>
    </row>
    <row r="1393" spans="1:6" x14ac:dyDescent="0.25">
      <c r="A1393">
        <v>1</v>
      </c>
      <c r="B1393">
        <v>15</v>
      </c>
      <c r="C1393">
        <v>19.899999999999999</v>
      </c>
      <c r="D1393">
        <v>30.1</v>
      </c>
      <c r="E1393">
        <v>76.5</v>
      </c>
      <c r="F1393">
        <v>0</v>
      </c>
    </row>
    <row r="1394" spans="1:6" x14ac:dyDescent="0.25">
      <c r="A1394">
        <v>0</v>
      </c>
      <c r="B1394">
        <v>13.2</v>
      </c>
      <c r="C1394">
        <v>17</v>
      </c>
      <c r="D1394">
        <v>29.4</v>
      </c>
      <c r="E1394">
        <v>101.5</v>
      </c>
      <c r="F1394">
        <v>0</v>
      </c>
    </row>
    <row r="1395" spans="1:6" x14ac:dyDescent="0.25">
      <c r="A1395">
        <v>1</v>
      </c>
      <c r="B1395">
        <v>15.1</v>
      </c>
      <c r="C1395">
        <v>21.3</v>
      </c>
      <c r="D1395">
        <v>32.4</v>
      </c>
      <c r="E1395">
        <v>100.6</v>
      </c>
      <c r="F1395">
        <v>0</v>
      </c>
    </row>
    <row r="1396" spans="1:6" x14ac:dyDescent="0.25">
      <c r="A1396">
        <v>0</v>
      </c>
      <c r="B1396">
        <v>16.600000000000001</v>
      </c>
      <c r="C1396">
        <v>28.4</v>
      </c>
      <c r="D1396">
        <v>31</v>
      </c>
      <c r="E1396">
        <v>75.599999999999994</v>
      </c>
      <c r="F1396">
        <v>0</v>
      </c>
    </row>
    <row r="1397" spans="1:6" x14ac:dyDescent="0.25">
      <c r="A1397">
        <v>0</v>
      </c>
      <c r="B1397">
        <v>13.6</v>
      </c>
      <c r="C1397">
        <v>29.8</v>
      </c>
      <c r="D1397">
        <v>32.4</v>
      </c>
      <c r="E1397">
        <v>76.599999999999994</v>
      </c>
      <c r="F1397">
        <v>0</v>
      </c>
    </row>
    <row r="1398" spans="1:6" x14ac:dyDescent="0.25">
      <c r="A1398">
        <v>1</v>
      </c>
      <c r="B1398">
        <v>13</v>
      </c>
      <c r="C1398">
        <v>26</v>
      </c>
      <c r="D1398">
        <v>31.4</v>
      </c>
      <c r="E1398">
        <v>82.8</v>
      </c>
      <c r="F1398">
        <v>1</v>
      </c>
    </row>
    <row r="1399" spans="1:6" x14ac:dyDescent="0.25">
      <c r="A1399">
        <v>1</v>
      </c>
      <c r="B1399">
        <v>14.8</v>
      </c>
      <c r="C1399">
        <v>19.5</v>
      </c>
      <c r="D1399">
        <v>32.200000000000003</v>
      </c>
      <c r="E1399">
        <v>72.099999999999994</v>
      </c>
      <c r="F1399">
        <v>0</v>
      </c>
    </row>
    <row r="1400" spans="1:6" x14ac:dyDescent="0.25">
      <c r="A1400">
        <v>0</v>
      </c>
      <c r="B1400">
        <v>14.3</v>
      </c>
      <c r="C1400">
        <v>19.2</v>
      </c>
      <c r="D1400">
        <v>30.9</v>
      </c>
      <c r="E1400">
        <v>94.8</v>
      </c>
      <c r="F1400">
        <v>0</v>
      </c>
    </row>
    <row r="1401" spans="1:6" x14ac:dyDescent="0.25">
      <c r="A1401">
        <v>1</v>
      </c>
      <c r="B1401">
        <v>14.4</v>
      </c>
      <c r="C1401">
        <v>25.2</v>
      </c>
      <c r="D1401">
        <v>32.200000000000003</v>
      </c>
      <c r="E1401">
        <v>94.9</v>
      </c>
      <c r="F1401">
        <v>0</v>
      </c>
    </row>
    <row r="1402" spans="1:6" x14ac:dyDescent="0.25">
      <c r="A1402">
        <v>0</v>
      </c>
      <c r="B1402">
        <v>14</v>
      </c>
      <c r="C1402">
        <v>18.2</v>
      </c>
      <c r="D1402">
        <v>29.6</v>
      </c>
      <c r="E1402">
        <v>77.599999999999994</v>
      </c>
      <c r="F1402">
        <v>0</v>
      </c>
    </row>
    <row r="1403" spans="1:6" x14ac:dyDescent="0.25">
      <c r="A1403">
        <v>0</v>
      </c>
      <c r="B1403">
        <v>16.8</v>
      </c>
      <c r="C1403">
        <v>24.4</v>
      </c>
      <c r="D1403">
        <v>28.2</v>
      </c>
      <c r="E1403">
        <v>74.8</v>
      </c>
      <c r="F1403">
        <v>0</v>
      </c>
    </row>
    <row r="1404" spans="1:6" x14ac:dyDescent="0.25">
      <c r="A1404">
        <v>0</v>
      </c>
      <c r="B1404">
        <v>16.899999999999999</v>
      </c>
      <c r="C1404">
        <v>19.3</v>
      </c>
      <c r="D1404">
        <v>29.1</v>
      </c>
      <c r="E1404">
        <v>82.1</v>
      </c>
      <c r="F1404">
        <v>0</v>
      </c>
    </row>
    <row r="1405" spans="1:6" x14ac:dyDescent="0.25">
      <c r="A1405">
        <v>1</v>
      </c>
      <c r="B1405">
        <v>12.3</v>
      </c>
      <c r="C1405">
        <v>22.9</v>
      </c>
      <c r="D1405">
        <v>27.9</v>
      </c>
      <c r="E1405">
        <v>71</v>
      </c>
      <c r="F1405">
        <v>1</v>
      </c>
    </row>
    <row r="1406" spans="1:6" x14ac:dyDescent="0.25">
      <c r="A1406">
        <v>1</v>
      </c>
      <c r="B1406">
        <v>11.6</v>
      </c>
      <c r="C1406">
        <v>24.6</v>
      </c>
      <c r="D1406">
        <v>28.2</v>
      </c>
      <c r="E1406">
        <v>96.7</v>
      </c>
      <c r="F1406">
        <v>1</v>
      </c>
    </row>
    <row r="1407" spans="1:6" x14ac:dyDescent="0.25">
      <c r="A1407">
        <v>0</v>
      </c>
      <c r="B1407">
        <v>11.7</v>
      </c>
      <c r="C1407">
        <v>24.4</v>
      </c>
      <c r="D1407">
        <v>31.5</v>
      </c>
      <c r="E1407">
        <v>99.8</v>
      </c>
      <c r="F1407">
        <v>1</v>
      </c>
    </row>
    <row r="1408" spans="1:6" x14ac:dyDescent="0.25">
      <c r="A1408">
        <v>1</v>
      </c>
      <c r="B1408">
        <v>12.9</v>
      </c>
      <c r="C1408">
        <v>19.5</v>
      </c>
      <c r="D1408">
        <v>28.7</v>
      </c>
      <c r="E1408">
        <v>87.7</v>
      </c>
      <c r="F1408">
        <v>1</v>
      </c>
    </row>
    <row r="1409" spans="1:6" x14ac:dyDescent="0.25">
      <c r="A1409">
        <v>0</v>
      </c>
      <c r="B1409">
        <v>15</v>
      </c>
      <c r="C1409">
        <v>19.5</v>
      </c>
      <c r="D1409">
        <v>31.3</v>
      </c>
      <c r="E1409">
        <v>71.900000000000006</v>
      </c>
      <c r="F1409">
        <v>0</v>
      </c>
    </row>
    <row r="1410" spans="1:6" x14ac:dyDescent="0.25">
      <c r="A1410">
        <v>0</v>
      </c>
      <c r="B1410">
        <v>13.6</v>
      </c>
      <c r="C1410">
        <v>28.8</v>
      </c>
      <c r="D1410">
        <v>32.5</v>
      </c>
      <c r="E1410">
        <v>99.6</v>
      </c>
      <c r="F1410">
        <v>0</v>
      </c>
    </row>
    <row r="1411" spans="1:6" x14ac:dyDescent="0.25">
      <c r="A1411">
        <v>0</v>
      </c>
      <c r="B1411">
        <v>11.2</v>
      </c>
      <c r="C1411">
        <v>18.8</v>
      </c>
      <c r="D1411">
        <v>30.9</v>
      </c>
      <c r="E1411">
        <v>94.7</v>
      </c>
      <c r="F1411">
        <v>1</v>
      </c>
    </row>
    <row r="1412" spans="1:6" x14ac:dyDescent="0.25">
      <c r="A1412">
        <v>0</v>
      </c>
      <c r="B1412">
        <v>11.6</v>
      </c>
      <c r="C1412">
        <v>18.8</v>
      </c>
      <c r="D1412">
        <v>29.3</v>
      </c>
      <c r="E1412">
        <v>79.099999999999994</v>
      </c>
      <c r="F1412">
        <v>1</v>
      </c>
    </row>
    <row r="1413" spans="1:6" x14ac:dyDescent="0.25">
      <c r="A1413">
        <v>1</v>
      </c>
      <c r="B1413">
        <v>12.1</v>
      </c>
      <c r="C1413">
        <v>18.899999999999999</v>
      </c>
      <c r="D1413">
        <v>31.2</v>
      </c>
      <c r="E1413">
        <v>76</v>
      </c>
      <c r="F1413">
        <v>1</v>
      </c>
    </row>
    <row r="1414" spans="1:6" x14ac:dyDescent="0.25">
      <c r="A1414">
        <v>0</v>
      </c>
      <c r="B1414">
        <v>16</v>
      </c>
      <c r="C1414">
        <v>23.6</v>
      </c>
      <c r="D1414">
        <v>29.4</v>
      </c>
      <c r="E1414">
        <v>95.6</v>
      </c>
      <c r="F1414">
        <v>0</v>
      </c>
    </row>
    <row r="1415" spans="1:6" x14ac:dyDescent="0.25">
      <c r="A1415">
        <v>0</v>
      </c>
      <c r="B1415">
        <v>13.2</v>
      </c>
      <c r="C1415">
        <v>25.6</v>
      </c>
      <c r="D1415">
        <v>31.1</v>
      </c>
      <c r="E1415">
        <v>100.4</v>
      </c>
      <c r="F1415">
        <v>0</v>
      </c>
    </row>
    <row r="1416" spans="1:6" x14ac:dyDescent="0.25">
      <c r="A1416">
        <v>0</v>
      </c>
      <c r="B1416">
        <v>13</v>
      </c>
      <c r="C1416">
        <v>26.2</v>
      </c>
      <c r="D1416">
        <v>31.3</v>
      </c>
      <c r="E1416">
        <v>74.900000000000006</v>
      </c>
      <c r="F1416">
        <v>0</v>
      </c>
    </row>
    <row r="1417" spans="1:6" x14ac:dyDescent="0.25">
      <c r="A1417">
        <v>1</v>
      </c>
      <c r="B1417">
        <v>13.2</v>
      </c>
      <c r="C1417">
        <v>20.100000000000001</v>
      </c>
      <c r="D1417">
        <v>28.8</v>
      </c>
      <c r="E1417">
        <v>91.2</v>
      </c>
      <c r="F1417">
        <v>1</v>
      </c>
    </row>
    <row r="1418" spans="1:6" x14ac:dyDescent="0.25">
      <c r="A1418">
        <v>0</v>
      </c>
      <c r="B1418">
        <v>10.6</v>
      </c>
      <c r="C1418">
        <v>25.4</v>
      </c>
      <c r="D1418">
        <v>28.2</v>
      </c>
      <c r="E1418">
        <v>82.9</v>
      </c>
      <c r="F1418">
        <v>1</v>
      </c>
    </row>
    <row r="1419" spans="1:6" x14ac:dyDescent="0.25">
      <c r="A1419">
        <v>1</v>
      </c>
      <c r="B1419">
        <v>12.1</v>
      </c>
      <c r="C1419">
        <v>28.3</v>
      </c>
      <c r="D1419">
        <v>30.4</v>
      </c>
      <c r="E1419">
        <v>86.9</v>
      </c>
      <c r="F1419">
        <v>1</v>
      </c>
    </row>
    <row r="1420" spans="1:6" x14ac:dyDescent="0.25">
      <c r="A1420">
        <v>1</v>
      </c>
      <c r="B1420">
        <v>13.1</v>
      </c>
      <c r="C1420">
        <v>17.7</v>
      </c>
      <c r="D1420">
        <v>28.1</v>
      </c>
      <c r="E1420">
        <v>80.7</v>
      </c>
      <c r="F1420">
        <v>1</v>
      </c>
    </row>
    <row r="1421" spans="1:6" x14ac:dyDescent="0.25">
      <c r="A1421">
        <v>0</v>
      </c>
      <c r="B1421">
        <v>14.3</v>
      </c>
      <c r="C1421">
        <v>16.2</v>
      </c>
      <c r="D1421">
        <v>29.5</v>
      </c>
      <c r="E1421">
        <v>95.2</v>
      </c>
      <c r="F1421">
        <v>0</v>
      </c>
    </row>
    <row r="1422" spans="1:6" x14ac:dyDescent="0.25">
      <c r="A1422">
        <v>0</v>
      </c>
      <c r="B1422">
        <v>11.8</v>
      </c>
      <c r="C1422">
        <v>21.2</v>
      </c>
      <c r="D1422">
        <v>28.4</v>
      </c>
      <c r="E1422">
        <v>98.1</v>
      </c>
      <c r="F1422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71CF5-9612-4A10-A9E8-CE9141340A40}">
  <dimension ref="A1:T1422"/>
  <sheetViews>
    <sheetView zoomScaleNormal="100" workbookViewId="0">
      <selection activeCell="V23" sqref="V23"/>
    </sheetView>
  </sheetViews>
  <sheetFormatPr defaultRowHeight="15" x14ac:dyDescent="0.25"/>
  <cols>
    <col min="1" max="1" width="7.5703125" bestFit="1" customWidth="1"/>
    <col min="2" max="2" width="11.85546875" bestFit="1" customWidth="1"/>
    <col min="3" max="3" width="5.5703125" bestFit="1" customWidth="1"/>
    <col min="4" max="4" width="6.28515625" bestFit="1" customWidth="1"/>
    <col min="5" max="5" width="6.7109375" bestFit="1" customWidth="1"/>
    <col min="6" max="6" width="6.5703125" bestFit="1" customWidth="1"/>
    <col min="8" max="8" width="7.7109375" style="2" bestFit="1" customWidth="1"/>
    <col min="9" max="9" width="12" style="2" bestFit="1" customWidth="1"/>
    <col min="10" max="10" width="5.5703125" style="2" bestFit="1" customWidth="1"/>
    <col min="11" max="11" width="6.42578125" style="2" bestFit="1" customWidth="1"/>
    <col min="12" max="13" width="6.7109375" style="2" bestFit="1" customWidth="1"/>
  </cols>
  <sheetData>
    <row r="1" spans="1:20" x14ac:dyDescent="0.25">
      <c r="A1" s="5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13"/>
      <c r="H1" s="10" t="s">
        <v>0</v>
      </c>
      <c r="I1" s="11" t="s">
        <v>1</v>
      </c>
      <c r="J1" s="11" t="s">
        <v>2</v>
      </c>
      <c r="K1" s="11" t="s">
        <v>3</v>
      </c>
      <c r="L1" s="11" t="s">
        <v>4</v>
      </c>
      <c r="M1" s="12" t="s">
        <v>5</v>
      </c>
      <c r="N1" s="15"/>
      <c r="O1" s="10" t="s">
        <v>0</v>
      </c>
      <c r="P1" s="11" t="s">
        <v>1</v>
      </c>
      <c r="Q1" s="11" t="s">
        <v>2</v>
      </c>
      <c r="R1" s="11" t="s">
        <v>3</v>
      </c>
      <c r="S1" s="11" t="s">
        <v>4</v>
      </c>
      <c r="T1" s="12" t="s">
        <v>5</v>
      </c>
    </row>
    <row r="2" spans="1:20" x14ac:dyDescent="0.25">
      <c r="A2" s="10">
        <v>1</v>
      </c>
      <c r="B2" s="10">
        <v>14.9</v>
      </c>
      <c r="C2" s="10">
        <v>22.7</v>
      </c>
      <c r="D2" s="10">
        <v>29.1</v>
      </c>
      <c r="E2" s="10">
        <v>83.7</v>
      </c>
      <c r="F2" s="10">
        <v>0</v>
      </c>
      <c r="G2" s="13"/>
      <c r="H2" s="10">
        <v>1</v>
      </c>
      <c r="I2" s="10">
        <v>14.9</v>
      </c>
      <c r="J2" s="10">
        <v>22.7</v>
      </c>
      <c r="K2" s="10">
        <v>29.1</v>
      </c>
      <c r="L2" s="10">
        <v>83.7</v>
      </c>
      <c r="M2" s="10">
        <v>0</v>
      </c>
      <c r="N2" s="15"/>
      <c r="O2" s="10">
        <v>1</v>
      </c>
      <c r="P2" s="10">
        <v>14.9</v>
      </c>
      <c r="Q2" s="10">
        <v>22.7</v>
      </c>
      <c r="R2" s="10">
        <v>29.1</v>
      </c>
      <c r="S2" s="10">
        <v>83.7</v>
      </c>
      <c r="T2" s="10">
        <v>0</v>
      </c>
    </row>
    <row r="3" spans="1:20" x14ac:dyDescent="0.25">
      <c r="A3" s="10">
        <v>0</v>
      </c>
      <c r="B3" s="10">
        <v>15.9</v>
      </c>
      <c r="C3" s="10">
        <v>25.4</v>
      </c>
      <c r="D3" s="10">
        <v>28.3</v>
      </c>
      <c r="E3" s="10">
        <v>72</v>
      </c>
      <c r="F3" s="10">
        <v>0</v>
      </c>
      <c r="G3" s="13"/>
      <c r="H3" s="10">
        <v>0</v>
      </c>
      <c r="I3" s="10">
        <v>15.9</v>
      </c>
      <c r="J3" s="10">
        <v>25.4</v>
      </c>
      <c r="K3" s="10">
        <v>28.3</v>
      </c>
      <c r="L3" s="10">
        <v>72</v>
      </c>
      <c r="M3" s="10">
        <v>0</v>
      </c>
      <c r="N3" s="15"/>
      <c r="O3" s="10">
        <v>0</v>
      </c>
      <c r="P3" s="10">
        <v>15.9</v>
      </c>
      <c r="Q3" s="10">
        <v>25.4</v>
      </c>
      <c r="R3" s="10">
        <v>28.3</v>
      </c>
      <c r="S3" s="10">
        <v>72</v>
      </c>
      <c r="T3" s="10">
        <v>0</v>
      </c>
    </row>
    <row r="4" spans="1:20" x14ac:dyDescent="0.25">
      <c r="A4" s="10">
        <v>0</v>
      </c>
      <c r="B4" s="10">
        <v>14.9</v>
      </c>
      <c r="C4" s="10">
        <v>16</v>
      </c>
      <c r="D4" s="10">
        <v>31.4</v>
      </c>
      <c r="E4" s="10">
        <v>87.5</v>
      </c>
      <c r="F4" s="10">
        <v>0</v>
      </c>
      <c r="G4" s="13"/>
      <c r="H4" s="10">
        <v>0</v>
      </c>
      <c r="I4" s="10">
        <v>9</v>
      </c>
      <c r="J4" s="10">
        <v>21.5</v>
      </c>
      <c r="K4" s="10">
        <v>29.6</v>
      </c>
      <c r="L4" s="10">
        <v>71.2</v>
      </c>
      <c r="M4" s="10">
        <v>1</v>
      </c>
      <c r="N4" s="15"/>
      <c r="O4" s="10">
        <v>0</v>
      </c>
      <c r="P4" s="10">
        <v>14.9</v>
      </c>
      <c r="Q4" s="10">
        <v>16</v>
      </c>
      <c r="R4" s="10">
        <v>31.4</v>
      </c>
      <c r="S4" s="10">
        <v>87.5</v>
      </c>
      <c r="T4" s="10">
        <v>0</v>
      </c>
    </row>
    <row r="5" spans="1:20" x14ac:dyDescent="0.25">
      <c r="A5" s="10">
        <v>1</v>
      </c>
      <c r="B5" s="10">
        <v>14.7</v>
      </c>
      <c r="C5" s="10">
        <v>22</v>
      </c>
      <c r="D5" s="10">
        <v>28.2</v>
      </c>
      <c r="E5" s="10">
        <v>99.5</v>
      </c>
      <c r="F5" s="10">
        <v>0</v>
      </c>
      <c r="G5" s="13"/>
      <c r="H5" s="10">
        <v>0</v>
      </c>
      <c r="I5" s="10">
        <v>14.9</v>
      </c>
      <c r="J5" s="10">
        <v>16</v>
      </c>
      <c r="K5" s="10">
        <v>31.4</v>
      </c>
      <c r="L5" s="10">
        <v>87.5</v>
      </c>
      <c r="M5" s="10">
        <v>0</v>
      </c>
      <c r="N5" s="15"/>
      <c r="O5" s="10">
        <v>1</v>
      </c>
      <c r="P5" s="10">
        <v>14.7</v>
      </c>
      <c r="Q5" s="10">
        <v>22</v>
      </c>
      <c r="R5" s="10">
        <v>28.2</v>
      </c>
      <c r="S5" s="10">
        <v>99.5</v>
      </c>
      <c r="T5" s="10">
        <v>0</v>
      </c>
    </row>
    <row r="6" spans="1:20" x14ac:dyDescent="0.25">
      <c r="A6" s="10">
        <v>0</v>
      </c>
      <c r="B6" s="10">
        <v>14.1</v>
      </c>
      <c r="C6" s="10">
        <v>29.7</v>
      </c>
      <c r="D6" s="10">
        <v>30.5</v>
      </c>
      <c r="E6" s="10">
        <v>75.2</v>
      </c>
      <c r="F6" s="10">
        <v>0</v>
      </c>
      <c r="G6" s="13"/>
      <c r="H6" s="10">
        <v>1</v>
      </c>
      <c r="I6" s="10">
        <v>14.7</v>
      </c>
      <c r="J6" s="10">
        <v>22</v>
      </c>
      <c r="K6" s="10">
        <v>28.2</v>
      </c>
      <c r="L6" s="10">
        <v>99.5</v>
      </c>
      <c r="M6" s="10">
        <v>0</v>
      </c>
      <c r="N6" s="15"/>
      <c r="O6" s="10">
        <v>0</v>
      </c>
      <c r="P6" s="10">
        <v>14.1</v>
      </c>
      <c r="Q6" s="10">
        <v>29.7</v>
      </c>
      <c r="R6" s="10">
        <v>30.5</v>
      </c>
      <c r="S6" s="10">
        <v>75.2</v>
      </c>
      <c r="T6" s="10">
        <v>0</v>
      </c>
    </row>
    <row r="7" spans="1:20" x14ac:dyDescent="0.25">
      <c r="A7" s="10">
        <v>1</v>
      </c>
      <c r="B7" s="10">
        <v>14.9</v>
      </c>
      <c r="C7" s="10">
        <v>25.8</v>
      </c>
      <c r="D7" s="10">
        <v>31.3</v>
      </c>
      <c r="E7" s="10">
        <v>82.9</v>
      </c>
      <c r="F7" s="10">
        <v>0</v>
      </c>
      <c r="G7" s="13"/>
      <c r="H7" s="10">
        <v>0</v>
      </c>
      <c r="I7" s="10">
        <v>11.6</v>
      </c>
      <c r="J7" s="10">
        <v>22.3</v>
      </c>
      <c r="K7" s="10">
        <v>30.9</v>
      </c>
      <c r="L7" s="10">
        <v>74.5</v>
      </c>
      <c r="M7" s="10">
        <v>1</v>
      </c>
      <c r="N7" s="15"/>
      <c r="O7" s="10">
        <v>1</v>
      </c>
      <c r="P7" s="10">
        <v>14.9</v>
      </c>
      <c r="Q7" s="10">
        <v>25.8</v>
      </c>
      <c r="R7" s="10">
        <v>31.3</v>
      </c>
      <c r="S7" s="10">
        <v>82.9</v>
      </c>
      <c r="T7" s="10">
        <v>0</v>
      </c>
    </row>
    <row r="8" spans="1:20" x14ac:dyDescent="0.25">
      <c r="A8" s="10">
        <v>0</v>
      </c>
      <c r="B8" s="10">
        <v>16.7</v>
      </c>
      <c r="C8" s="10">
        <v>27.5</v>
      </c>
      <c r="D8" s="10">
        <v>28.2</v>
      </c>
      <c r="E8" s="10">
        <v>93</v>
      </c>
      <c r="F8" s="10">
        <v>0</v>
      </c>
      <c r="G8" s="13"/>
      <c r="H8" s="10">
        <v>1</v>
      </c>
      <c r="I8" s="10">
        <v>12.7</v>
      </c>
      <c r="J8" s="10">
        <v>19.5</v>
      </c>
      <c r="K8" s="10">
        <v>28.9</v>
      </c>
      <c r="L8" s="10">
        <v>82.9</v>
      </c>
      <c r="M8" s="10">
        <v>1</v>
      </c>
      <c r="N8" s="15"/>
      <c r="O8" s="10">
        <v>0</v>
      </c>
      <c r="P8" s="10">
        <v>16.7</v>
      </c>
      <c r="Q8" s="10">
        <v>27.5</v>
      </c>
      <c r="R8" s="10">
        <v>28.2</v>
      </c>
      <c r="S8" s="10">
        <v>93</v>
      </c>
      <c r="T8" s="10">
        <v>0</v>
      </c>
    </row>
    <row r="9" spans="1:20" x14ac:dyDescent="0.25">
      <c r="A9" s="10">
        <v>0</v>
      </c>
      <c r="B9" s="10">
        <v>13.4</v>
      </c>
      <c r="C9" s="10">
        <v>25.2</v>
      </c>
      <c r="D9" s="10">
        <v>30.2</v>
      </c>
      <c r="E9" s="10">
        <v>95.9</v>
      </c>
      <c r="F9" s="10">
        <v>0</v>
      </c>
      <c r="G9" s="13"/>
      <c r="H9" s="10">
        <v>1</v>
      </c>
      <c r="I9" s="10">
        <v>12.7</v>
      </c>
      <c r="J9" s="10">
        <v>28.5</v>
      </c>
      <c r="K9" s="10">
        <v>28.2</v>
      </c>
      <c r="L9" s="10">
        <v>92.3</v>
      </c>
      <c r="M9" s="10">
        <v>1</v>
      </c>
      <c r="N9" s="15"/>
      <c r="O9" s="10">
        <v>0</v>
      </c>
      <c r="P9" s="10">
        <v>13.4</v>
      </c>
      <c r="Q9" s="10">
        <v>25.2</v>
      </c>
      <c r="R9" s="10">
        <v>30.2</v>
      </c>
      <c r="S9" s="10">
        <v>95.9</v>
      </c>
      <c r="T9" s="10">
        <v>0</v>
      </c>
    </row>
    <row r="10" spans="1:20" x14ac:dyDescent="0.25">
      <c r="A10" s="10">
        <v>0</v>
      </c>
      <c r="B10" s="10">
        <v>14.7</v>
      </c>
      <c r="C10" s="10">
        <v>28.9</v>
      </c>
      <c r="D10" s="10">
        <v>31</v>
      </c>
      <c r="E10" s="10">
        <v>69.8</v>
      </c>
      <c r="F10" s="10">
        <v>0</v>
      </c>
      <c r="G10" s="13"/>
      <c r="H10" s="10">
        <v>0</v>
      </c>
      <c r="I10" s="10">
        <v>14.1</v>
      </c>
      <c r="J10" s="10">
        <v>29.7</v>
      </c>
      <c r="K10" s="10">
        <v>30.5</v>
      </c>
      <c r="L10" s="10">
        <v>75.2</v>
      </c>
      <c r="M10" s="10">
        <v>0</v>
      </c>
      <c r="N10" s="15"/>
      <c r="O10" s="10">
        <v>0</v>
      </c>
      <c r="P10" s="10">
        <v>14.7</v>
      </c>
      <c r="Q10" s="10">
        <v>28.9</v>
      </c>
      <c r="R10" s="10">
        <v>31</v>
      </c>
      <c r="S10" s="10">
        <v>69.8</v>
      </c>
      <c r="T10" s="10">
        <v>0</v>
      </c>
    </row>
    <row r="11" spans="1:20" x14ac:dyDescent="0.25">
      <c r="A11" s="10">
        <v>0</v>
      </c>
      <c r="B11" s="10">
        <v>15.9</v>
      </c>
      <c r="C11" s="10">
        <v>24.3</v>
      </c>
      <c r="D11" s="10">
        <v>28.7</v>
      </c>
      <c r="E11" s="10">
        <v>91.5</v>
      </c>
      <c r="F11" s="10">
        <v>0</v>
      </c>
      <c r="G11" s="13"/>
      <c r="H11" s="10">
        <v>1</v>
      </c>
      <c r="I11" s="10">
        <v>14.9</v>
      </c>
      <c r="J11" s="10">
        <v>25.8</v>
      </c>
      <c r="K11" s="10">
        <v>31.3</v>
      </c>
      <c r="L11" s="10">
        <v>82.9</v>
      </c>
      <c r="M11" s="10">
        <v>0</v>
      </c>
      <c r="N11" s="15"/>
      <c r="O11" s="10">
        <v>0</v>
      </c>
      <c r="P11" s="10">
        <v>15.9</v>
      </c>
      <c r="Q11" s="10">
        <v>24.3</v>
      </c>
      <c r="R11" s="10">
        <v>28.7</v>
      </c>
      <c r="S11" s="10">
        <v>91.5</v>
      </c>
      <c r="T11" s="10">
        <v>0</v>
      </c>
    </row>
    <row r="12" spans="1:20" x14ac:dyDescent="0.25">
      <c r="A12" s="10">
        <v>1</v>
      </c>
      <c r="B12" s="10">
        <v>14</v>
      </c>
      <c r="C12" s="10">
        <v>25.5</v>
      </c>
      <c r="D12" s="10">
        <v>32</v>
      </c>
      <c r="E12" s="10">
        <v>81.599999999999994</v>
      </c>
      <c r="F12" s="10">
        <v>0</v>
      </c>
      <c r="G12" s="13"/>
      <c r="H12" s="10">
        <v>1</v>
      </c>
      <c r="I12" s="10">
        <v>13</v>
      </c>
      <c r="J12" s="10">
        <v>18.3</v>
      </c>
      <c r="K12" s="10">
        <v>29.6</v>
      </c>
      <c r="L12" s="10">
        <v>87.8</v>
      </c>
      <c r="M12" s="10">
        <v>1</v>
      </c>
      <c r="N12" s="15"/>
      <c r="O12" s="10">
        <v>1</v>
      </c>
      <c r="P12" s="10">
        <v>14</v>
      </c>
      <c r="Q12" s="10">
        <v>25.5</v>
      </c>
      <c r="R12" s="10">
        <v>32</v>
      </c>
      <c r="S12" s="10">
        <v>81.599999999999994</v>
      </c>
      <c r="T12" s="10">
        <v>0</v>
      </c>
    </row>
    <row r="13" spans="1:20" x14ac:dyDescent="0.25">
      <c r="A13" s="10">
        <v>1</v>
      </c>
      <c r="B13" s="10">
        <v>15.9</v>
      </c>
      <c r="C13" s="10">
        <v>24</v>
      </c>
      <c r="D13" s="10">
        <v>27.9</v>
      </c>
      <c r="E13" s="10">
        <v>83.7</v>
      </c>
      <c r="F13" s="10">
        <v>0</v>
      </c>
      <c r="G13" s="13"/>
      <c r="H13" s="10">
        <v>0</v>
      </c>
      <c r="I13" s="10">
        <v>16.7</v>
      </c>
      <c r="J13" s="10">
        <v>27.5</v>
      </c>
      <c r="K13" s="10">
        <v>28.2</v>
      </c>
      <c r="L13" s="10">
        <v>93</v>
      </c>
      <c r="M13" s="10">
        <v>0</v>
      </c>
      <c r="N13" s="15"/>
      <c r="O13" s="10">
        <v>1</v>
      </c>
      <c r="P13" s="10">
        <v>15.9</v>
      </c>
      <c r="Q13" s="10">
        <v>24</v>
      </c>
      <c r="R13" s="10">
        <v>27.9</v>
      </c>
      <c r="S13" s="10">
        <v>83.7</v>
      </c>
      <c r="T13" s="10">
        <v>0</v>
      </c>
    </row>
    <row r="14" spans="1:20" x14ac:dyDescent="0.25">
      <c r="A14" s="10">
        <v>1</v>
      </c>
      <c r="B14" s="10">
        <v>15.4</v>
      </c>
      <c r="C14" s="10">
        <v>24.6</v>
      </c>
      <c r="D14" s="10">
        <v>30.1</v>
      </c>
      <c r="E14" s="10">
        <v>94.3</v>
      </c>
      <c r="F14" s="10">
        <v>0</v>
      </c>
      <c r="G14" s="13"/>
      <c r="H14" s="10">
        <v>0</v>
      </c>
      <c r="I14" s="10">
        <v>13.4</v>
      </c>
      <c r="J14" s="10">
        <v>25.2</v>
      </c>
      <c r="K14" s="10">
        <v>30.2</v>
      </c>
      <c r="L14" s="10">
        <v>95.9</v>
      </c>
      <c r="M14" s="10">
        <v>0</v>
      </c>
      <c r="N14" s="15"/>
      <c r="O14" s="10">
        <v>1</v>
      </c>
      <c r="P14" s="10">
        <v>15.4</v>
      </c>
      <c r="Q14" s="10">
        <v>24.6</v>
      </c>
      <c r="R14" s="10">
        <v>30.1</v>
      </c>
      <c r="S14" s="10">
        <v>94.3</v>
      </c>
      <c r="T14" s="10">
        <v>0</v>
      </c>
    </row>
    <row r="15" spans="1:20" x14ac:dyDescent="0.25">
      <c r="A15" s="10">
        <v>0</v>
      </c>
      <c r="B15" s="10">
        <v>13.6</v>
      </c>
      <c r="C15" s="10">
        <v>19.3</v>
      </c>
      <c r="D15" s="10">
        <v>31.4</v>
      </c>
      <c r="E15" s="10">
        <v>78.900000000000006</v>
      </c>
      <c r="F15" s="10">
        <v>0</v>
      </c>
      <c r="G15" s="13"/>
      <c r="H15" s="10">
        <v>0</v>
      </c>
      <c r="I15" s="10">
        <v>14.7</v>
      </c>
      <c r="J15" s="10">
        <v>28.9</v>
      </c>
      <c r="K15" s="10">
        <v>31</v>
      </c>
      <c r="L15" s="10">
        <v>69.8</v>
      </c>
      <c r="M15" s="10">
        <v>0</v>
      </c>
      <c r="N15" s="15"/>
      <c r="O15" s="10">
        <v>0</v>
      </c>
      <c r="P15" s="10">
        <v>13.6</v>
      </c>
      <c r="Q15" s="10">
        <v>19.3</v>
      </c>
      <c r="R15" s="10">
        <v>31.4</v>
      </c>
      <c r="S15" s="10">
        <v>78.900000000000006</v>
      </c>
      <c r="T15" s="10">
        <v>0</v>
      </c>
    </row>
    <row r="16" spans="1:20" x14ac:dyDescent="0.25">
      <c r="A16" s="10">
        <v>1</v>
      </c>
      <c r="B16" s="10">
        <v>16.5</v>
      </c>
      <c r="C16" s="10">
        <v>19.3</v>
      </c>
      <c r="D16" s="10">
        <v>29.2</v>
      </c>
      <c r="E16" s="10">
        <v>69.7</v>
      </c>
      <c r="F16" s="10">
        <v>0</v>
      </c>
      <c r="G16" s="13"/>
      <c r="H16" s="10">
        <v>0</v>
      </c>
      <c r="I16" s="10">
        <v>15.9</v>
      </c>
      <c r="J16" s="10">
        <v>24.3</v>
      </c>
      <c r="K16" s="10">
        <v>28.7</v>
      </c>
      <c r="L16" s="10">
        <v>91.5</v>
      </c>
      <c r="M16" s="10">
        <v>0</v>
      </c>
      <c r="N16" s="15"/>
      <c r="O16" s="10">
        <v>1</v>
      </c>
      <c r="P16" s="10">
        <v>16.5</v>
      </c>
      <c r="Q16" s="10">
        <v>19.3</v>
      </c>
      <c r="R16" s="10">
        <v>29.2</v>
      </c>
      <c r="S16" s="10">
        <v>69.7</v>
      </c>
      <c r="T16" s="10">
        <v>0</v>
      </c>
    </row>
    <row r="17" spans="1:20" x14ac:dyDescent="0.25">
      <c r="A17" s="10">
        <v>1</v>
      </c>
      <c r="B17" s="10">
        <v>16.2</v>
      </c>
      <c r="C17" s="10">
        <v>17.2</v>
      </c>
      <c r="D17" s="10">
        <v>32.200000000000003</v>
      </c>
      <c r="E17" s="10">
        <v>78.400000000000006</v>
      </c>
      <c r="F17" s="10">
        <v>0</v>
      </c>
      <c r="G17" s="13"/>
      <c r="H17" s="10">
        <v>1</v>
      </c>
      <c r="I17" s="10">
        <v>14</v>
      </c>
      <c r="J17" s="10">
        <v>25.5</v>
      </c>
      <c r="K17" s="10">
        <v>32</v>
      </c>
      <c r="L17" s="10">
        <v>81.599999999999994</v>
      </c>
      <c r="M17" s="10">
        <v>0</v>
      </c>
      <c r="N17" s="15"/>
      <c r="O17" s="10">
        <v>1</v>
      </c>
      <c r="P17" s="10">
        <v>16.2</v>
      </c>
      <c r="Q17" s="10">
        <v>17.2</v>
      </c>
      <c r="R17" s="10">
        <v>32.200000000000003</v>
      </c>
      <c r="S17" s="10">
        <v>78.400000000000006</v>
      </c>
      <c r="T17" s="10">
        <v>0</v>
      </c>
    </row>
    <row r="18" spans="1:20" x14ac:dyDescent="0.25">
      <c r="A18" s="10">
        <v>1</v>
      </c>
      <c r="B18" s="10">
        <v>14.8</v>
      </c>
      <c r="C18" s="10">
        <v>23.4</v>
      </c>
      <c r="D18" s="10">
        <v>29.2</v>
      </c>
      <c r="E18" s="10">
        <v>74.7</v>
      </c>
      <c r="F18" s="10">
        <v>0</v>
      </c>
      <c r="G18" s="13"/>
      <c r="H18" s="10">
        <v>1</v>
      </c>
      <c r="I18" s="10">
        <v>15.9</v>
      </c>
      <c r="J18" s="10">
        <v>24</v>
      </c>
      <c r="K18" s="10">
        <v>27.9</v>
      </c>
      <c r="L18" s="10">
        <v>83.7</v>
      </c>
      <c r="M18" s="10">
        <v>0</v>
      </c>
      <c r="N18" s="15"/>
      <c r="O18" s="10">
        <v>1</v>
      </c>
      <c r="P18" s="10">
        <v>14.8</v>
      </c>
      <c r="Q18" s="10">
        <v>23.4</v>
      </c>
      <c r="R18" s="10">
        <v>29.2</v>
      </c>
      <c r="S18" s="10">
        <v>74.7</v>
      </c>
      <c r="T18" s="10">
        <v>0</v>
      </c>
    </row>
    <row r="19" spans="1:20" x14ac:dyDescent="0.25">
      <c r="A19" s="10">
        <v>0</v>
      </c>
      <c r="B19" s="10">
        <v>12.1</v>
      </c>
      <c r="C19" s="10">
        <v>28.3</v>
      </c>
      <c r="D19" s="10">
        <v>29.2</v>
      </c>
      <c r="E19" s="10">
        <v>99.7</v>
      </c>
      <c r="F19" s="10">
        <v>0</v>
      </c>
      <c r="G19" s="13"/>
      <c r="H19" s="10">
        <v>1</v>
      </c>
      <c r="I19" s="10">
        <v>12.3</v>
      </c>
      <c r="J19" s="10">
        <v>21.8</v>
      </c>
      <c r="K19" s="10">
        <v>27.8</v>
      </c>
      <c r="L19" s="10">
        <v>77.900000000000006</v>
      </c>
      <c r="M19" s="10">
        <v>1</v>
      </c>
      <c r="N19" s="15"/>
      <c r="O19" s="10">
        <v>0</v>
      </c>
      <c r="P19" s="10">
        <v>12.1</v>
      </c>
      <c r="Q19" s="10">
        <v>28.3</v>
      </c>
      <c r="R19" s="10">
        <v>29.2</v>
      </c>
      <c r="S19" s="10">
        <v>99.7</v>
      </c>
      <c r="T19" s="10">
        <v>0</v>
      </c>
    </row>
    <row r="20" spans="1:20" x14ac:dyDescent="0.25">
      <c r="A20" s="10">
        <v>1</v>
      </c>
      <c r="B20" s="10">
        <v>14.7</v>
      </c>
      <c r="C20" s="10">
        <v>23.4</v>
      </c>
      <c r="D20" s="10">
        <v>29.9</v>
      </c>
      <c r="E20" s="10">
        <v>85.3</v>
      </c>
      <c r="F20" s="10">
        <v>0</v>
      </c>
      <c r="G20" s="13"/>
      <c r="H20" s="10">
        <v>1</v>
      </c>
      <c r="I20" s="10">
        <v>15.4</v>
      </c>
      <c r="J20" s="10">
        <v>24.6</v>
      </c>
      <c r="K20" s="10">
        <v>30.1</v>
      </c>
      <c r="L20" s="10">
        <v>94.3</v>
      </c>
      <c r="M20" s="10">
        <v>0</v>
      </c>
      <c r="N20" s="15"/>
      <c r="O20" s="10">
        <v>1</v>
      </c>
      <c r="P20" s="10">
        <v>14.7</v>
      </c>
      <c r="Q20" s="10">
        <v>23.4</v>
      </c>
      <c r="R20" s="10">
        <v>29.9</v>
      </c>
      <c r="S20" s="10">
        <v>85.3</v>
      </c>
      <c r="T20" s="10">
        <v>0</v>
      </c>
    </row>
    <row r="21" spans="1:20" x14ac:dyDescent="0.25">
      <c r="A21" s="10">
        <v>1</v>
      </c>
      <c r="B21" s="10">
        <v>14.3</v>
      </c>
      <c r="C21" s="10">
        <v>16.399999999999999</v>
      </c>
      <c r="D21" s="10">
        <v>29.9</v>
      </c>
      <c r="E21" s="10">
        <v>90.1</v>
      </c>
      <c r="F21" s="10">
        <v>0</v>
      </c>
      <c r="G21" s="13"/>
      <c r="H21" s="10">
        <v>0</v>
      </c>
      <c r="I21" s="10">
        <v>13.6</v>
      </c>
      <c r="J21" s="10">
        <v>19.3</v>
      </c>
      <c r="K21" s="10">
        <v>31.4</v>
      </c>
      <c r="L21" s="10">
        <v>78.900000000000006</v>
      </c>
      <c r="M21" s="10">
        <v>0</v>
      </c>
      <c r="N21" s="15"/>
      <c r="O21" s="10">
        <v>1</v>
      </c>
      <c r="P21" s="10">
        <v>14.3</v>
      </c>
      <c r="Q21" s="10">
        <v>16.399999999999999</v>
      </c>
      <c r="R21" s="10">
        <v>29.9</v>
      </c>
      <c r="S21" s="10">
        <v>90.1</v>
      </c>
      <c r="T21" s="10">
        <v>0</v>
      </c>
    </row>
    <row r="22" spans="1:20" x14ac:dyDescent="0.25">
      <c r="A22" s="10">
        <v>1</v>
      </c>
      <c r="B22" s="10">
        <v>14.3</v>
      </c>
      <c r="C22" s="10">
        <v>24.1</v>
      </c>
      <c r="D22" s="10">
        <v>28.7</v>
      </c>
      <c r="E22" s="10">
        <v>97.2</v>
      </c>
      <c r="F22" s="10">
        <v>0</v>
      </c>
      <c r="G22" s="13"/>
      <c r="H22" s="10">
        <v>1</v>
      </c>
      <c r="I22" s="10">
        <v>16.5</v>
      </c>
      <c r="J22" s="10">
        <v>19.3</v>
      </c>
      <c r="K22" s="10">
        <v>29.2</v>
      </c>
      <c r="L22" s="10">
        <v>69.7</v>
      </c>
      <c r="M22" s="10">
        <v>0</v>
      </c>
      <c r="N22" s="15"/>
      <c r="O22" s="10">
        <v>1</v>
      </c>
      <c r="P22" s="10">
        <v>14.3</v>
      </c>
      <c r="Q22" s="10">
        <v>24.1</v>
      </c>
      <c r="R22" s="10">
        <v>28.7</v>
      </c>
      <c r="S22" s="10">
        <v>97.2</v>
      </c>
      <c r="T22" s="10">
        <v>0</v>
      </c>
    </row>
    <row r="23" spans="1:20" x14ac:dyDescent="0.25">
      <c r="A23" s="10">
        <v>1</v>
      </c>
      <c r="B23" s="10">
        <v>13.5</v>
      </c>
      <c r="C23" s="10">
        <v>22.1</v>
      </c>
      <c r="D23" s="10">
        <v>29.6</v>
      </c>
      <c r="E23" s="10">
        <v>74.7</v>
      </c>
      <c r="F23" s="10">
        <v>0</v>
      </c>
      <c r="G23" s="13"/>
      <c r="H23" s="10">
        <v>1</v>
      </c>
      <c r="I23" s="10">
        <v>16.2</v>
      </c>
      <c r="J23" s="10">
        <v>17.2</v>
      </c>
      <c r="K23" s="10">
        <v>32.200000000000003</v>
      </c>
      <c r="L23" s="10">
        <v>78.400000000000006</v>
      </c>
      <c r="M23" s="10">
        <v>0</v>
      </c>
      <c r="N23" s="15"/>
      <c r="O23" s="10">
        <v>1</v>
      </c>
      <c r="P23" s="10">
        <v>13.5</v>
      </c>
      <c r="Q23" s="10">
        <v>22.1</v>
      </c>
      <c r="R23" s="10">
        <v>29.6</v>
      </c>
      <c r="S23" s="10">
        <v>74.7</v>
      </c>
      <c r="T23" s="10">
        <v>0</v>
      </c>
    </row>
    <row r="24" spans="1:20" x14ac:dyDescent="0.25">
      <c r="A24" s="10">
        <v>1</v>
      </c>
      <c r="B24" s="10">
        <v>14.9</v>
      </c>
      <c r="C24" s="10">
        <v>17.600000000000001</v>
      </c>
      <c r="D24" s="10">
        <v>32.4</v>
      </c>
      <c r="E24" s="10">
        <v>101.5</v>
      </c>
      <c r="F24" s="10">
        <v>0</v>
      </c>
      <c r="G24" s="13"/>
      <c r="H24" s="10">
        <v>0</v>
      </c>
      <c r="I24" s="10">
        <v>6.9</v>
      </c>
      <c r="J24" s="10">
        <v>28.1</v>
      </c>
      <c r="K24" s="10">
        <v>32.5</v>
      </c>
      <c r="L24" s="10">
        <v>94.6</v>
      </c>
      <c r="M24" s="10">
        <v>1</v>
      </c>
      <c r="N24" s="15"/>
      <c r="O24" s="10">
        <v>1</v>
      </c>
      <c r="P24" s="10">
        <v>14.9</v>
      </c>
      <c r="Q24" s="10">
        <v>17.600000000000001</v>
      </c>
      <c r="R24" s="10">
        <v>32.4</v>
      </c>
      <c r="S24" s="10">
        <v>101.5</v>
      </c>
      <c r="T24" s="10">
        <v>0</v>
      </c>
    </row>
    <row r="25" spans="1:20" x14ac:dyDescent="0.25">
      <c r="A25" s="10">
        <v>0</v>
      </c>
      <c r="B25" s="10">
        <v>14.9</v>
      </c>
      <c r="C25" s="10">
        <v>29.1</v>
      </c>
      <c r="D25" s="10">
        <v>32.1</v>
      </c>
      <c r="E25" s="10">
        <v>84.9</v>
      </c>
      <c r="F25" s="10">
        <v>0</v>
      </c>
      <c r="G25" s="13"/>
      <c r="H25" s="10">
        <v>1</v>
      </c>
      <c r="I25" s="10">
        <v>11.8</v>
      </c>
      <c r="J25" s="10">
        <v>16.3</v>
      </c>
      <c r="K25" s="10">
        <v>30.9</v>
      </c>
      <c r="L25" s="10">
        <v>78.7</v>
      </c>
      <c r="M25" s="10">
        <v>1</v>
      </c>
      <c r="N25" s="15"/>
      <c r="O25" s="10">
        <v>0</v>
      </c>
      <c r="P25" s="10">
        <v>14.9</v>
      </c>
      <c r="Q25" s="10">
        <v>29.1</v>
      </c>
      <c r="R25" s="10">
        <v>32.1</v>
      </c>
      <c r="S25" s="10">
        <v>84.9</v>
      </c>
      <c r="T25" s="10">
        <v>0</v>
      </c>
    </row>
    <row r="26" spans="1:20" x14ac:dyDescent="0.25">
      <c r="A26" s="10">
        <v>0</v>
      </c>
      <c r="B26" s="10">
        <v>12.5</v>
      </c>
      <c r="C26" s="10">
        <v>23.5</v>
      </c>
      <c r="D26" s="10">
        <v>30.6</v>
      </c>
      <c r="E26" s="10">
        <v>82.8</v>
      </c>
      <c r="F26" s="10">
        <v>0</v>
      </c>
      <c r="G26" s="13"/>
      <c r="H26" s="10">
        <v>1</v>
      </c>
      <c r="I26" s="10">
        <v>11</v>
      </c>
      <c r="J26" s="10">
        <v>26</v>
      </c>
      <c r="K26" s="10">
        <v>32.200000000000003</v>
      </c>
      <c r="L26" s="10">
        <v>98.9</v>
      </c>
      <c r="M26" s="10">
        <v>1</v>
      </c>
      <c r="N26" s="15"/>
      <c r="O26" s="10">
        <v>0</v>
      </c>
      <c r="P26" s="10">
        <v>12.5</v>
      </c>
      <c r="Q26" s="10">
        <v>23.5</v>
      </c>
      <c r="R26" s="10">
        <v>30.6</v>
      </c>
      <c r="S26" s="10">
        <v>82.8</v>
      </c>
      <c r="T26" s="10">
        <v>0</v>
      </c>
    </row>
    <row r="27" spans="1:20" x14ac:dyDescent="0.25">
      <c r="A27" s="10">
        <v>0</v>
      </c>
      <c r="B27" s="10">
        <v>14.5</v>
      </c>
      <c r="C27" s="10">
        <v>24.9</v>
      </c>
      <c r="D27" s="10">
        <v>29</v>
      </c>
      <c r="E27" s="10">
        <v>81.8</v>
      </c>
      <c r="F27" s="10">
        <v>0</v>
      </c>
      <c r="G27" s="5"/>
      <c r="H27" s="10">
        <v>1</v>
      </c>
      <c r="I27" s="10">
        <v>11</v>
      </c>
      <c r="J27" s="10">
        <v>25.2</v>
      </c>
      <c r="K27" s="10">
        <v>30.9</v>
      </c>
      <c r="L27" s="10">
        <v>83.2</v>
      </c>
      <c r="M27" s="10">
        <v>1</v>
      </c>
      <c r="O27" s="10">
        <v>0</v>
      </c>
      <c r="P27" s="10">
        <v>14.5</v>
      </c>
      <c r="Q27" s="10">
        <v>24.9</v>
      </c>
      <c r="R27" s="10">
        <v>29</v>
      </c>
      <c r="S27" s="10">
        <v>81.8</v>
      </c>
      <c r="T27" s="10">
        <v>0</v>
      </c>
    </row>
    <row r="28" spans="1:20" x14ac:dyDescent="0.25">
      <c r="A28" s="10">
        <v>0</v>
      </c>
      <c r="B28" s="10">
        <v>12.8</v>
      </c>
      <c r="C28" s="10">
        <v>21.3</v>
      </c>
      <c r="D28" s="10">
        <v>29.4</v>
      </c>
      <c r="E28" s="10">
        <v>94.2</v>
      </c>
      <c r="F28" s="10">
        <v>0</v>
      </c>
      <c r="G28" s="5"/>
      <c r="H28" s="10">
        <v>0</v>
      </c>
      <c r="I28" s="10">
        <v>10.7</v>
      </c>
      <c r="J28" s="10">
        <v>21.3</v>
      </c>
      <c r="K28" s="10">
        <v>29.1</v>
      </c>
      <c r="L28" s="10">
        <v>78.7</v>
      </c>
      <c r="M28" s="10">
        <v>1</v>
      </c>
      <c r="O28" s="10">
        <v>0</v>
      </c>
      <c r="P28" s="10">
        <v>12.8</v>
      </c>
      <c r="Q28" s="10">
        <v>21.3</v>
      </c>
      <c r="R28" s="10">
        <v>29.4</v>
      </c>
      <c r="S28" s="10">
        <v>94.2</v>
      </c>
      <c r="T28" s="10">
        <v>0</v>
      </c>
    </row>
    <row r="29" spans="1:20" x14ac:dyDescent="0.25">
      <c r="A29" s="10">
        <v>0</v>
      </c>
      <c r="B29" s="10">
        <v>15.2</v>
      </c>
      <c r="C29" s="10">
        <v>28.1</v>
      </c>
      <c r="D29" s="10">
        <v>31.4</v>
      </c>
      <c r="E29" s="10">
        <v>77.3</v>
      </c>
      <c r="F29" s="10">
        <v>0</v>
      </c>
      <c r="G29" s="5"/>
      <c r="H29" s="10">
        <v>1</v>
      </c>
      <c r="I29" s="10">
        <v>14.8</v>
      </c>
      <c r="J29" s="10">
        <v>23.4</v>
      </c>
      <c r="K29" s="10">
        <v>29.2</v>
      </c>
      <c r="L29" s="10">
        <v>74.7</v>
      </c>
      <c r="M29" s="10">
        <v>0</v>
      </c>
      <c r="O29" s="10">
        <v>0</v>
      </c>
      <c r="P29" s="10">
        <v>15.2</v>
      </c>
      <c r="Q29" s="10">
        <v>28.1</v>
      </c>
      <c r="R29" s="10">
        <v>31.4</v>
      </c>
      <c r="S29" s="10">
        <v>77.3</v>
      </c>
      <c r="T29" s="10">
        <v>0</v>
      </c>
    </row>
    <row r="30" spans="1:20" x14ac:dyDescent="0.25">
      <c r="A30" s="10">
        <v>0</v>
      </c>
      <c r="B30" s="10">
        <v>16.100000000000001</v>
      </c>
      <c r="C30" s="10">
        <v>21.4</v>
      </c>
      <c r="D30" s="10">
        <v>29.1</v>
      </c>
      <c r="E30" s="10">
        <v>88.8</v>
      </c>
      <c r="F30" s="10">
        <v>0</v>
      </c>
      <c r="G30" s="5"/>
      <c r="H30" s="10">
        <v>0</v>
      </c>
      <c r="I30" s="10">
        <v>12.1</v>
      </c>
      <c r="J30" s="10">
        <v>28.3</v>
      </c>
      <c r="K30" s="10">
        <v>29.2</v>
      </c>
      <c r="L30" s="10">
        <v>99.7</v>
      </c>
      <c r="M30" s="10">
        <v>0</v>
      </c>
      <c r="O30" s="10">
        <v>0</v>
      </c>
      <c r="P30" s="10">
        <v>16.100000000000001</v>
      </c>
      <c r="Q30" s="10">
        <v>21.4</v>
      </c>
      <c r="R30" s="10">
        <v>29.1</v>
      </c>
      <c r="S30" s="10">
        <v>88.8</v>
      </c>
      <c r="T30" s="10">
        <v>0</v>
      </c>
    </row>
    <row r="31" spans="1:20" x14ac:dyDescent="0.25">
      <c r="A31" s="10">
        <v>1</v>
      </c>
      <c r="B31" s="10">
        <v>16.7</v>
      </c>
      <c r="C31" s="10">
        <v>20.8</v>
      </c>
      <c r="D31" s="10">
        <v>31.9</v>
      </c>
      <c r="E31" s="10">
        <v>85.1</v>
      </c>
      <c r="F31" s="10">
        <v>0</v>
      </c>
      <c r="G31" s="5"/>
      <c r="H31" s="10">
        <v>1</v>
      </c>
      <c r="I31" s="10">
        <v>14.7</v>
      </c>
      <c r="J31" s="10">
        <v>23.4</v>
      </c>
      <c r="K31" s="10">
        <v>29.9</v>
      </c>
      <c r="L31" s="10">
        <v>85.3</v>
      </c>
      <c r="M31" s="10">
        <v>0</v>
      </c>
      <c r="O31" s="10">
        <v>1</v>
      </c>
      <c r="P31" s="10">
        <v>16.7</v>
      </c>
      <c r="Q31" s="10">
        <v>20.8</v>
      </c>
      <c r="R31" s="10">
        <v>31.9</v>
      </c>
      <c r="S31" s="10">
        <v>85.1</v>
      </c>
      <c r="T31" s="10">
        <v>0</v>
      </c>
    </row>
    <row r="32" spans="1:20" x14ac:dyDescent="0.25">
      <c r="A32" s="10">
        <v>0</v>
      </c>
      <c r="B32" s="10">
        <v>15.3</v>
      </c>
      <c r="C32" s="10">
        <v>18.600000000000001</v>
      </c>
      <c r="D32" s="10">
        <v>30.4</v>
      </c>
      <c r="E32" s="10">
        <v>96.6</v>
      </c>
      <c r="F32" s="10">
        <v>0</v>
      </c>
      <c r="G32" s="5"/>
      <c r="H32" s="10">
        <v>0</v>
      </c>
      <c r="I32" s="10">
        <v>11.2</v>
      </c>
      <c r="J32" s="10">
        <v>16.100000000000001</v>
      </c>
      <c r="K32" s="10">
        <v>30.3</v>
      </c>
      <c r="L32" s="10">
        <v>82.6</v>
      </c>
      <c r="M32" s="10">
        <v>1</v>
      </c>
      <c r="O32" s="10">
        <v>0</v>
      </c>
      <c r="P32" s="10">
        <v>15.3</v>
      </c>
      <c r="Q32" s="10">
        <v>18.600000000000001</v>
      </c>
      <c r="R32" s="10">
        <v>30.4</v>
      </c>
      <c r="S32" s="10">
        <v>96.6</v>
      </c>
      <c r="T32" s="10">
        <v>0</v>
      </c>
    </row>
    <row r="33" spans="1:20" x14ac:dyDescent="0.25">
      <c r="A33" s="10">
        <v>1</v>
      </c>
      <c r="B33" s="10">
        <v>14.4</v>
      </c>
      <c r="C33" s="10">
        <v>28.1</v>
      </c>
      <c r="D33" s="10">
        <v>28.5</v>
      </c>
      <c r="E33" s="10">
        <v>93.2</v>
      </c>
      <c r="F33" s="10">
        <v>0</v>
      </c>
      <c r="G33" s="5"/>
      <c r="H33" s="10">
        <v>1</v>
      </c>
      <c r="I33" s="10">
        <v>14.3</v>
      </c>
      <c r="J33" s="10">
        <v>16.399999999999999</v>
      </c>
      <c r="K33" s="10">
        <v>29.9</v>
      </c>
      <c r="L33" s="10">
        <v>90.1</v>
      </c>
      <c r="M33" s="10">
        <v>0</v>
      </c>
      <c r="O33" s="10">
        <v>1</v>
      </c>
      <c r="P33" s="10">
        <v>14.4</v>
      </c>
      <c r="Q33" s="10">
        <v>28.1</v>
      </c>
      <c r="R33" s="10">
        <v>28.5</v>
      </c>
      <c r="S33" s="10">
        <v>93.2</v>
      </c>
      <c r="T33" s="10">
        <v>0</v>
      </c>
    </row>
    <row r="34" spans="1:20" x14ac:dyDescent="0.25">
      <c r="A34" s="10">
        <v>0</v>
      </c>
      <c r="B34" s="10">
        <v>14.8</v>
      </c>
      <c r="C34" s="10">
        <v>28.2</v>
      </c>
      <c r="D34" s="10">
        <v>30.8</v>
      </c>
      <c r="E34" s="10">
        <v>70.7</v>
      </c>
      <c r="F34" s="10">
        <v>0</v>
      </c>
      <c r="G34" s="5"/>
      <c r="H34" s="10">
        <v>1</v>
      </c>
      <c r="I34" s="10">
        <v>14.3</v>
      </c>
      <c r="J34" s="10">
        <v>24.1</v>
      </c>
      <c r="K34" s="10">
        <v>28.7</v>
      </c>
      <c r="L34" s="10">
        <v>97.2</v>
      </c>
      <c r="M34" s="10">
        <v>0</v>
      </c>
      <c r="O34" s="10">
        <v>0</v>
      </c>
      <c r="P34" s="10">
        <v>14.8</v>
      </c>
      <c r="Q34" s="10">
        <v>28.2</v>
      </c>
      <c r="R34" s="10">
        <v>30.8</v>
      </c>
      <c r="S34" s="10">
        <v>70.7</v>
      </c>
      <c r="T34" s="10">
        <v>0</v>
      </c>
    </row>
    <row r="35" spans="1:20" x14ac:dyDescent="0.25">
      <c r="A35" s="10">
        <v>0</v>
      </c>
      <c r="B35" s="10">
        <v>16.899999999999999</v>
      </c>
      <c r="C35" s="10">
        <v>25.5</v>
      </c>
      <c r="D35" s="10">
        <v>29.6</v>
      </c>
      <c r="E35" s="10">
        <v>83.2</v>
      </c>
      <c r="F35" s="10">
        <v>0</v>
      </c>
      <c r="G35" s="5"/>
      <c r="H35" s="10">
        <v>0</v>
      </c>
      <c r="I35" s="10">
        <v>11</v>
      </c>
      <c r="J35" s="10">
        <v>17</v>
      </c>
      <c r="K35" s="10">
        <v>29.5</v>
      </c>
      <c r="L35" s="10">
        <v>75.3</v>
      </c>
      <c r="M35" s="10">
        <v>1</v>
      </c>
      <c r="O35" s="10">
        <v>0</v>
      </c>
      <c r="P35" s="10">
        <v>16.899999999999999</v>
      </c>
      <c r="Q35" s="10">
        <v>25.5</v>
      </c>
      <c r="R35" s="10">
        <v>29.6</v>
      </c>
      <c r="S35" s="10">
        <v>83.2</v>
      </c>
      <c r="T35" s="10">
        <v>0</v>
      </c>
    </row>
    <row r="36" spans="1:20" x14ac:dyDescent="0.25">
      <c r="A36" s="10">
        <v>1</v>
      </c>
      <c r="B36" s="10">
        <v>14.7</v>
      </c>
      <c r="C36" s="10">
        <v>20</v>
      </c>
      <c r="D36" s="10">
        <v>29.3</v>
      </c>
      <c r="E36" s="10">
        <v>94.4</v>
      </c>
      <c r="F36" s="10">
        <v>0</v>
      </c>
      <c r="G36" s="5"/>
      <c r="H36" s="10">
        <v>0</v>
      </c>
      <c r="I36" s="10">
        <v>11.9</v>
      </c>
      <c r="J36" s="10">
        <v>29.5</v>
      </c>
      <c r="K36" s="10">
        <v>32.200000000000003</v>
      </c>
      <c r="L36" s="10">
        <v>87.8</v>
      </c>
      <c r="M36" s="10">
        <v>1</v>
      </c>
      <c r="O36" s="10">
        <v>1</v>
      </c>
      <c r="P36" s="10">
        <v>14.7</v>
      </c>
      <c r="Q36" s="10">
        <v>20</v>
      </c>
      <c r="R36" s="10">
        <v>29.3</v>
      </c>
      <c r="S36" s="10">
        <v>94.4</v>
      </c>
      <c r="T36" s="10">
        <v>0</v>
      </c>
    </row>
    <row r="37" spans="1:20" x14ac:dyDescent="0.25">
      <c r="A37" s="10">
        <v>0</v>
      </c>
      <c r="B37" s="10">
        <v>13.8</v>
      </c>
      <c r="C37" s="10">
        <v>27.3</v>
      </c>
      <c r="D37" s="10">
        <v>29.6</v>
      </c>
      <c r="E37" s="10">
        <v>97.9</v>
      </c>
      <c r="F37" s="10">
        <v>0</v>
      </c>
      <c r="G37" s="5"/>
      <c r="H37" s="10">
        <v>1</v>
      </c>
      <c r="I37" s="10">
        <v>13.5</v>
      </c>
      <c r="J37" s="10">
        <v>22.1</v>
      </c>
      <c r="K37" s="10">
        <v>29.6</v>
      </c>
      <c r="L37" s="10">
        <v>74.7</v>
      </c>
      <c r="M37" s="10">
        <v>0</v>
      </c>
      <c r="O37" s="10">
        <v>0</v>
      </c>
      <c r="P37" s="10">
        <v>13.8</v>
      </c>
      <c r="Q37" s="10">
        <v>27.3</v>
      </c>
      <c r="R37" s="10">
        <v>29.6</v>
      </c>
      <c r="S37" s="10">
        <v>97.9</v>
      </c>
      <c r="T37" s="10">
        <v>0</v>
      </c>
    </row>
    <row r="38" spans="1:20" x14ac:dyDescent="0.25">
      <c r="A38" s="10">
        <v>1</v>
      </c>
      <c r="B38" s="10">
        <v>13.8</v>
      </c>
      <c r="C38" s="10">
        <v>20.9</v>
      </c>
      <c r="D38" s="10">
        <v>31.2</v>
      </c>
      <c r="E38" s="10">
        <v>97.4</v>
      </c>
      <c r="F38" s="10">
        <v>0</v>
      </c>
      <c r="G38" s="5"/>
      <c r="H38" s="10">
        <v>1</v>
      </c>
      <c r="I38" s="10">
        <v>14.9</v>
      </c>
      <c r="J38" s="10">
        <v>17.600000000000001</v>
      </c>
      <c r="K38" s="10">
        <v>32.4</v>
      </c>
      <c r="L38" s="10">
        <v>101.5</v>
      </c>
      <c r="M38" s="10">
        <v>0</v>
      </c>
      <c r="O38" s="10">
        <v>1</v>
      </c>
      <c r="P38" s="10">
        <v>13.8</v>
      </c>
      <c r="Q38" s="10">
        <v>20.9</v>
      </c>
      <c r="R38" s="10">
        <v>31.2</v>
      </c>
      <c r="S38" s="10">
        <v>97.4</v>
      </c>
      <c r="T38" s="10">
        <v>0</v>
      </c>
    </row>
    <row r="39" spans="1:20" x14ac:dyDescent="0.25">
      <c r="A39" s="10">
        <v>0</v>
      </c>
      <c r="B39" s="10">
        <v>12.4</v>
      </c>
      <c r="C39" s="10">
        <v>20.8</v>
      </c>
      <c r="D39" s="10">
        <v>30.7</v>
      </c>
      <c r="E39" s="10">
        <v>98.2</v>
      </c>
      <c r="F39" s="10">
        <v>0</v>
      </c>
      <c r="G39" s="5"/>
      <c r="H39" s="10">
        <v>0</v>
      </c>
      <c r="I39" s="10">
        <v>14.9</v>
      </c>
      <c r="J39" s="10">
        <v>29.1</v>
      </c>
      <c r="K39" s="10">
        <v>32.1</v>
      </c>
      <c r="L39" s="10">
        <v>84.9</v>
      </c>
      <c r="M39" s="10">
        <v>0</v>
      </c>
      <c r="O39" s="10">
        <v>0</v>
      </c>
      <c r="P39" s="10">
        <v>12.4</v>
      </c>
      <c r="Q39" s="10">
        <v>20.8</v>
      </c>
      <c r="R39" s="10">
        <v>30.7</v>
      </c>
      <c r="S39" s="10">
        <v>98.2</v>
      </c>
      <c r="T39" s="10">
        <v>0</v>
      </c>
    </row>
    <row r="40" spans="1:20" x14ac:dyDescent="0.25">
      <c r="A40" s="10">
        <v>0</v>
      </c>
      <c r="B40" s="10">
        <v>12.4</v>
      </c>
      <c r="C40" s="10">
        <v>23</v>
      </c>
      <c r="D40" s="10">
        <v>32.200000000000003</v>
      </c>
      <c r="E40" s="10">
        <v>76.099999999999994</v>
      </c>
      <c r="F40" s="10">
        <v>0</v>
      </c>
      <c r="G40" s="5"/>
      <c r="H40" s="10">
        <v>0</v>
      </c>
      <c r="I40" s="10">
        <v>11.6</v>
      </c>
      <c r="J40" s="10">
        <v>19.399999999999999</v>
      </c>
      <c r="K40" s="10">
        <v>30.1</v>
      </c>
      <c r="L40" s="10">
        <v>85.3</v>
      </c>
      <c r="M40" s="10">
        <v>1</v>
      </c>
      <c r="O40" s="10">
        <v>0</v>
      </c>
      <c r="P40" s="10">
        <v>12.4</v>
      </c>
      <c r="Q40" s="10">
        <v>23</v>
      </c>
      <c r="R40" s="10">
        <v>32.200000000000003</v>
      </c>
      <c r="S40" s="10">
        <v>76.099999999999994</v>
      </c>
      <c r="T40" s="10">
        <v>0</v>
      </c>
    </row>
    <row r="41" spans="1:20" x14ac:dyDescent="0.25">
      <c r="A41" s="10">
        <v>1</v>
      </c>
      <c r="B41" s="10">
        <v>16.399999999999999</v>
      </c>
      <c r="C41" s="10">
        <v>18.7</v>
      </c>
      <c r="D41" s="10">
        <v>29.6</v>
      </c>
      <c r="E41" s="10">
        <v>96.4</v>
      </c>
      <c r="F41" s="10">
        <v>0</v>
      </c>
      <c r="G41" s="5"/>
      <c r="H41" s="10">
        <v>0</v>
      </c>
      <c r="I41" s="10">
        <v>12.5</v>
      </c>
      <c r="J41" s="10">
        <v>23.5</v>
      </c>
      <c r="K41" s="10">
        <v>30.6</v>
      </c>
      <c r="L41" s="10">
        <v>82.8</v>
      </c>
      <c r="M41" s="10">
        <v>0</v>
      </c>
      <c r="O41" s="10">
        <v>1</v>
      </c>
      <c r="P41" s="10">
        <v>16.399999999999999</v>
      </c>
      <c r="Q41" s="10">
        <v>18.7</v>
      </c>
      <c r="R41" s="10">
        <v>29.6</v>
      </c>
      <c r="S41" s="10">
        <v>96.4</v>
      </c>
      <c r="T41" s="10">
        <v>0</v>
      </c>
    </row>
    <row r="42" spans="1:20" x14ac:dyDescent="0.25">
      <c r="A42" s="10">
        <v>0</v>
      </c>
      <c r="B42" s="10">
        <v>16.7</v>
      </c>
      <c r="C42" s="10">
        <v>23.4</v>
      </c>
      <c r="D42" s="10">
        <v>29.8</v>
      </c>
      <c r="E42" s="10">
        <v>92.5</v>
      </c>
      <c r="F42" s="10">
        <v>0</v>
      </c>
      <c r="G42" s="5"/>
      <c r="H42" s="10">
        <v>0</v>
      </c>
      <c r="I42" s="10">
        <v>14.5</v>
      </c>
      <c r="J42" s="10">
        <v>24.9</v>
      </c>
      <c r="K42" s="10">
        <v>29</v>
      </c>
      <c r="L42" s="10">
        <v>81.8</v>
      </c>
      <c r="M42" s="10">
        <v>0</v>
      </c>
      <c r="O42" s="10">
        <v>0</v>
      </c>
      <c r="P42" s="10">
        <v>16.7</v>
      </c>
      <c r="Q42" s="10">
        <v>23.4</v>
      </c>
      <c r="R42" s="10">
        <v>29.8</v>
      </c>
      <c r="S42" s="10">
        <v>92.5</v>
      </c>
      <c r="T42" s="10">
        <v>0</v>
      </c>
    </row>
    <row r="43" spans="1:20" x14ac:dyDescent="0.25">
      <c r="A43" s="10">
        <v>0</v>
      </c>
      <c r="B43" s="10">
        <v>16.3</v>
      </c>
      <c r="C43" s="10">
        <v>28.6</v>
      </c>
      <c r="D43" s="10">
        <v>30.9</v>
      </c>
      <c r="E43" s="10">
        <v>99.9</v>
      </c>
      <c r="F43" s="10">
        <v>0</v>
      </c>
      <c r="G43" s="5"/>
      <c r="H43" s="10">
        <v>1</v>
      </c>
      <c r="I43" s="10">
        <v>12.8</v>
      </c>
      <c r="J43" s="10">
        <v>21.2</v>
      </c>
      <c r="K43" s="10">
        <v>31.7</v>
      </c>
      <c r="L43" s="10">
        <v>73.3</v>
      </c>
      <c r="M43" s="10">
        <v>1</v>
      </c>
      <c r="O43" s="10">
        <v>0</v>
      </c>
      <c r="P43" s="10">
        <v>16.3</v>
      </c>
      <c r="Q43" s="10">
        <v>28.6</v>
      </c>
      <c r="R43" s="10">
        <v>30.9</v>
      </c>
      <c r="S43" s="10">
        <v>99.9</v>
      </c>
      <c r="T43" s="10">
        <v>0</v>
      </c>
    </row>
    <row r="44" spans="1:20" x14ac:dyDescent="0.25">
      <c r="A44" s="10">
        <v>0</v>
      </c>
      <c r="B44" s="10">
        <v>13.7</v>
      </c>
      <c r="C44" s="10">
        <v>17.100000000000001</v>
      </c>
      <c r="D44" s="10">
        <v>29.9</v>
      </c>
      <c r="E44" s="10">
        <v>78.400000000000006</v>
      </c>
      <c r="F44" s="10">
        <v>0</v>
      </c>
      <c r="G44" s="5"/>
      <c r="H44" s="10">
        <v>0</v>
      </c>
      <c r="I44" s="10">
        <v>12.8</v>
      </c>
      <c r="J44" s="10">
        <v>21.3</v>
      </c>
      <c r="K44" s="10">
        <v>29.4</v>
      </c>
      <c r="L44" s="10">
        <v>94.2</v>
      </c>
      <c r="M44" s="10">
        <v>0</v>
      </c>
      <c r="O44" s="10">
        <v>0</v>
      </c>
      <c r="P44" s="10">
        <v>13.7</v>
      </c>
      <c r="Q44" s="10">
        <v>17.100000000000001</v>
      </c>
      <c r="R44" s="10">
        <v>29.9</v>
      </c>
      <c r="S44" s="10">
        <v>78.400000000000006</v>
      </c>
      <c r="T44" s="10">
        <v>0</v>
      </c>
    </row>
    <row r="45" spans="1:20" x14ac:dyDescent="0.25">
      <c r="A45" s="10">
        <v>0</v>
      </c>
      <c r="B45" s="10">
        <v>12.1</v>
      </c>
      <c r="C45" s="10">
        <v>19.3</v>
      </c>
      <c r="D45" s="10">
        <v>30.3</v>
      </c>
      <c r="E45" s="10">
        <v>83.3</v>
      </c>
      <c r="F45" s="10">
        <v>0</v>
      </c>
      <c r="G45" s="5"/>
      <c r="H45" s="10">
        <v>0</v>
      </c>
      <c r="I45" s="10">
        <v>15.2</v>
      </c>
      <c r="J45" s="10">
        <v>28.1</v>
      </c>
      <c r="K45" s="10">
        <v>31.4</v>
      </c>
      <c r="L45" s="10">
        <v>77.3</v>
      </c>
      <c r="M45" s="10">
        <v>0</v>
      </c>
      <c r="O45" s="10">
        <v>0</v>
      </c>
      <c r="P45" s="10">
        <v>12.1</v>
      </c>
      <c r="Q45" s="10">
        <v>19.3</v>
      </c>
      <c r="R45" s="10">
        <v>30.3</v>
      </c>
      <c r="S45" s="10">
        <v>83.3</v>
      </c>
      <c r="T45" s="10">
        <v>0</v>
      </c>
    </row>
    <row r="46" spans="1:20" x14ac:dyDescent="0.25">
      <c r="A46" s="10">
        <v>1</v>
      </c>
      <c r="B46" s="10">
        <v>16.600000000000001</v>
      </c>
      <c r="C46" s="10">
        <v>21.4</v>
      </c>
      <c r="D46" s="10">
        <v>28.8</v>
      </c>
      <c r="E46" s="10">
        <v>78.400000000000006</v>
      </c>
      <c r="F46" s="10">
        <v>0</v>
      </c>
      <c r="G46" s="5"/>
      <c r="H46" s="10">
        <v>0</v>
      </c>
      <c r="I46" s="10">
        <v>16.100000000000001</v>
      </c>
      <c r="J46" s="10">
        <v>21.4</v>
      </c>
      <c r="K46" s="10">
        <v>29.1</v>
      </c>
      <c r="L46" s="10">
        <v>88.8</v>
      </c>
      <c r="M46" s="10">
        <v>0</v>
      </c>
      <c r="O46" s="10">
        <v>1</v>
      </c>
      <c r="P46" s="10">
        <v>16.600000000000001</v>
      </c>
      <c r="Q46" s="10">
        <v>21.4</v>
      </c>
      <c r="R46" s="10">
        <v>28.8</v>
      </c>
      <c r="S46" s="10">
        <v>78.400000000000006</v>
      </c>
      <c r="T46" s="10">
        <v>0</v>
      </c>
    </row>
    <row r="47" spans="1:20" x14ac:dyDescent="0.25">
      <c r="A47" s="10">
        <v>0</v>
      </c>
      <c r="B47" s="10">
        <v>13.2</v>
      </c>
      <c r="C47" s="10">
        <v>20.2</v>
      </c>
      <c r="D47" s="10">
        <v>28.5</v>
      </c>
      <c r="E47" s="10">
        <v>85.2</v>
      </c>
      <c r="F47" s="10">
        <v>0</v>
      </c>
      <c r="G47" s="5"/>
      <c r="H47" s="10">
        <v>0</v>
      </c>
      <c r="I47" s="10">
        <v>11.7</v>
      </c>
      <c r="J47" s="10">
        <v>26.3</v>
      </c>
      <c r="K47" s="10">
        <v>30</v>
      </c>
      <c r="L47" s="10">
        <v>70.5</v>
      </c>
      <c r="M47" s="10">
        <v>1</v>
      </c>
      <c r="O47" s="10">
        <v>0</v>
      </c>
      <c r="P47" s="10">
        <v>13.2</v>
      </c>
      <c r="Q47" s="10">
        <v>20.2</v>
      </c>
      <c r="R47" s="10">
        <v>28.5</v>
      </c>
      <c r="S47" s="10">
        <v>85.2</v>
      </c>
      <c r="T47" s="10">
        <v>0</v>
      </c>
    </row>
    <row r="48" spans="1:20" x14ac:dyDescent="0.25">
      <c r="A48" s="10">
        <v>0</v>
      </c>
      <c r="B48" s="10">
        <v>14.4</v>
      </c>
      <c r="C48" s="10">
        <v>29.8</v>
      </c>
      <c r="D48" s="10">
        <v>31.6</v>
      </c>
      <c r="E48" s="10">
        <v>92.4</v>
      </c>
      <c r="F48" s="10">
        <v>0</v>
      </c>
      <c r="G48" s="5"/>
      <c r="H48" s="10">
        <v>1</v>
      </c>
      <c r="I48" s="10">
        <v>16.7</v>
      </c>
      <c r="J48" s="10">
        <v>20.8</v>
      </c>
      <c r="K48" s="10">
        <v>31.9</v>
      </c>
      <c r="L48" s="10">
        <v>85.1</v>
      </c>
      <c r="M48" s="10">
        <v>0</v>
      </c>
      <c r="O48" s="10">
        <v>0</v>
      </c>
      <c r="P48" s="10">
        <v>14.4</v>
      </c>
      <c r="Q48" s="10">
        <v>29.8</v>
      </c>
      <c r="R48" s="10">
        <v>31.6</v>
      </c>
      <c r="S48" s="10">
        <v>92.4</v>
      </c>
      <c r="T48" s="10">
        <v>0</v>
      </c>
    </row>
    <row r="49" spans="1:20" x14ac:dyDescent="0.25">
      <c r="A49" s="10">
        <v>1</v>
      </c>
      <c r="B49" s="10">
        <v>13.7</v>
      </c>
      <c r="C49" s="10">
        <v>18.7</v>
      </c>
      <c r="D49" s="10">
        <v>30.3</v>
      </c>
      <c r="E49" s="10">
        <v>69.400000000000006</v>
      </c>
      <c r="F49" s="10">
        <v>0</v>
      </c>
      <c r="G49" s="5"/>
      <c r="H49" s="10">
        <v>1</v>
      </c>
      <c r="I49" s="10">
        <v>11.3</v>
      </c>
      <c r="J49" s="10">
        <v>26.7</v>
      </c>
      <c r="K49" s="10">
        <v>29.8</v>
      </c>
      <c r="L49" s="10">
        <v>92.7</v>
      </c>
      <c r="M49" s="10">
        <v>1</v>
      </c>
      <c r="O49" s="10">
        <v>1</v>
      </c>
      <c r="P49" s="10">
        <v>13.7</v>
      </c>
      <c r="Q49" s="10">
        <v>18.7</v>
      </c>
      <c r="R49" s="10">
        <v>30.3</v>
      </c>
      <c r="S49" s="10">
        <v>69.400000000000006</v>
      </c>
      <c r="T49" s="10">
        <v>0</v>
      </c>
    </row>
    <row r="50" spans="1:20" x14ac:dyDescent="0.25">
      <c r="A50" s="10">
        <v>0</v>
      </c>
      <c r="B50" s="10">
        <v>16.3</v>
      </c>
      <c r="C50" s="10">
        <v>21.6</v>
      </c>
      <c r="D50" s="10">
        <v>32.299999999999997</v>
      </c>
      <c r="E50" s="10">
        <v>98.4</v>
      </c>
      <c r="F50" s="10">
        <v>0</v>
      </c>
      <c r="G50" s="5"/>
      <c r="H50" s="10">
        <v>0</v>
      </c>
      <c r="I50" s="10">
        <v>15.3</v>
      </c>
      <c r="J50" s="10">
        <v>18.600000000000001</v>
      </c>
      <c r="K50" s="10">
        <v>30.4</v>
      </c>
      <c r="L50" s="10">
        <v>96.6</v>
      </c>
      <c r="M50" s="10">
        <v>0</v>
      </c>
      <c r="O50" s="10">
        <v>0</v>
      </c>
      <c r="P50" s="10">
        <v>16.3</v>
      </c>
      <c r="Q50" s="10">
        <v>21.6</v>
      </c>
      <c r="R50" s="10">
        <v>32.299999999999997</v>
      </c>
      <c r="S50" s="10">
        <v>98.4</v>
      </c>
      <c r="T50" s="10">
        <v>0</v>
      </c>
    </row>
    <row r="51" spans="1:20" x14ac:dyDescent="0.25">
      <c r="A51" s="10">
        <v>0</v>
      </c>
      <c r="B51" s="10">
        <v>13.2</v>
      </c>
      <c r="C51" s="10">
        <v>23.5</v>
      </c>
      <c r="D51" s="10">
        <v>31.3</v>
      </c>
      <c r="E51" s="10">
        <v>85.9</v>
      </c>
      <c r="F51" s="10">
        <v>0</v>
      </c>
      <c r="G51" s="5"/>
      <c r="H51" s="10">
        <v>1</v>
      </c>
      <c r="I51" s="10">
        <v>14.4</v>
      </c>
      <c r="J51" s="10">
        <v>28.1</v>
      </c>
      <c r="K51" s="10">
        <v>28.5</v>
      </c>
      <c r="L51" s="10">
        <v>93.2</v>
      </c>
      <c r="M51" s="10">
        <v>0</v>
      </c>
      <c r="O51" s="10">
        <v>0</v>
      </c>
      <c r="P51" s="10">
        <v>13.2</v>
      </c>
      <c r="Q51" s="10">
        <v>23.5</v>
      </c>
      <c r="R51" s="10">
        <v>31.3</v>
      </c>
      <c r="S51" s="10">
        <v>85.9</v>
      </c>
      <c r="T51" s="10">
        <v>0</v>
      </c>
    </row>
    <row r="52" spans="1:20" x14ac:dyDescent="0.25">
      <c r="A52" s="10">
        <v>1</v>
      </c>
      <c r="B52" s="10">
        <v>16.8</v>
      </c>
      <c r="C52" s="10">
        <v>19.2</v>
      </c>
      <c r="D52" s="10">
        <v>28.1</v>
      </c>
      <c r="E52" s="10">
        <v>100.8</v>
      </c>
      <c r="F52" s="10">
        <v>0</v>
      </c>
      <c r="G52" s="5"/>
      <c r="H52" s="10">
        <v>1</v>
      </c>
      <c r="I52" s="10">
        <v>13.1</v>
      </c>
      <c r="J52" s="10">
        <v>28.3</v>
      </c>
      <c r="K52" s="10">
        <v>29.6</v>
      </c>
      <c r="L52" s="10">
        <v>86.5</v>
      </c>
      <c r="M52" s="10">
        <v>1</v>
      </c>
      <c r="O52" s="10">
        <v>1</v>
      </c>
      <c r="P52" s="10">
        <v>16.8</v>
      </c>
      <c r="Q52" s="10">
        <v>19.2</v>
      </c>
      <c r="R52" s="10">
        <v>28.1</v>
      </c>
      <c r="S52" s="10">
        <v>100.8</v>
      </c>
      <c r="T52" s="10">
        <v>0</v>
      </c>
    </row>
    <row r="53" spans="1:20" x14ac:dyDescent="0.25">
      <c r="A53" s="10">
        <v>1</v>
      </c>
      <c r="B53" s="10">
        <v>16.5</v>
      </c>
      <c r="C53" s="10">
        <v>26.4</v>
      </c>
      <c r="D53" s="10">
        <v>27.9</v>
      </c>
      <c r="E53" s="10">
        <v>101.5</v>
      </c>
      <c r="F53" s="10">
        <v>0</v>
      </c>
      <c r="G53" s="5"/>
      <c r="H53" s="10">
        <v>1</v>
      </c>
      <c r="I53" s="10">
        <v>12.7</v>
      </c>
      <c r="J53" s="10">
        <v>19.100000000000001</v>
      </c>
      <c r="K53" s="10">
        <v>29.8</v>
      </c>
      <c r="L53" s="10">
        <v>84.3</v>
      </c>
      <c r="M53" s="10">
        <v>1</v>
      </c>
      <c r="O53" s="10">
        <v>1</v>
      </c>
      <c r="P53" s="10">
        <v>16.5</v>
      </c>
      <c r="Q53" s="10">
        <v>26.4</v>
      </c>
      <c r="R53" s="10">
        <v>27.9</v>
      </c>
      <c r="S53" s="10">
        <v>101.5</v>
      </c>
      <c r="T53" s="10">
        <v>0</v>
      </c>
    </row>
    <row r="54" spans="1:20" x14ac:dyDescent="0.25">
      <c r="A54" s="10">
        <v>0</v>
      </c>
      <c r="B54" s="10">
        <v>15.2</v>
      </c>
      <c r="C54" s="10">
        <v>20.6</v>
      </c>
      <c r="D54" s="10">
        <v>31.9</v>
      </c>
      <c r="E54" s="10">
        <v>99.7</v>
      </c>
      <c r="F54" s="10">
        <v>0</v>
      </c>
      <c r="G54" s="5"/>
      <c r="H54" s="10">
        <v>0</v>
      </c>
      <c r="I54" s="10">
        <v>14.8</v>
      </c>
      <c r="J54" s="10">
        <v>28.2</v>
      </c>
      <c r="K54" s="10">
        <v>30.8</v>
      </c>
      <c r="L54" s="10">
        <v>70.7</v>
      </c>
      <c r="M54" s="10">
        <v>0</v>
      </c>
      <c r="O54" s="10">
        <v>0</v>
      </c>
      <c r="P54" s="10">
        <v>15.2</v>
      </c>
      <c r="Q54" s="10">
        <v>20.6</v>
      </c>
      <c r="R54" s="10">
        <v>31.9</v>
      </c>
      <c r="S54" s="10">
        <v>99.7</v>
      </c>
      <c r="T54" s="10">
        <v>0</v>
      </c>
    </row>
    <row r="55" spans="1:20" x14ac:dyDescent="0.25">
      <c r="A55" s="10">
        <v>0</v>
      </c>
      <c r="B55" s="10">
        <v>13.5</v>
      </c>
      <c r="C55" s="10">
        <v>19</v>
      </c>
      <c r="D55" s="10">
        <v>28.8</v>
      </c>
      <c r="E55" s="10">
        <v>82.3</v>
      </c>
      <c r="F55" s="10">
        <v>0</v>
      </c>
      <c r="G55" s="5"/>
      <c r="H55" s="10">
        <v>0</v>
      </c>
      <c r="I55" s="10">
        <v>16.899999999999999</v>
      </c>
      <c r="J55" s="10">
        <v>25.5</v>
      </c>
      <c r="K55" s="10">
        <v>29.6</v>
      </c>
      <c r="L55" s="10">
        <v>83.2</v>
      </c>
      <c r="M55" s="10">
        <v>0</v>
      </c>
      <c r="O55" s="10">
        <v>0</v>
      </c>
      <c r="P55" s="10">
        <v>13.5</v>
      </c>
      <c r="Q55" s="10">
        <v>19</v>
      </c>
      <c r="R55" s="10">
        <v>28.8</v>
      </c>
      <c r="S55" s="10">
        <v>82.3</v>
      </c>
      <c r="T55" s="10">
        <v>0</v>
      </c>
    </row>
    <row r="56" spans="1:20" x14ac:dyDescent="0.25">
      <c r="A56" s="10">
        <v>0</v>
      </c>
      <c r="B56" s="10">
        <v>13.4</v>
      </c>
      <c r="C56" s="10">
        <v>18.7</v>
      </c>
      <c r="D56" s="10">
        <v>31.9</v>
      </c>
      <c r="E56" s="10">
        <v>73.2</v>
      </c>
      <c r="F56" s="10">
        <v>0</v>
      </c>
      <c r="G56" s="5"/>
      <c r="H56" s="10">
        <v>1</v>
      </c>
      <c r="I56" s="10">
        <v>14.7</v>
      </c>
      <c r="J56" s="10">
        <v>20</v>
      </c>
      <c r="K56" s="10">
        <v>29.3</v>
      </c>
      <c r="L56" s="10">
        <v>94.4</v>
      </c>
      <c r="M56" s="10">
        <v>0</v>
      </c>
      <c r="O56" s="10">
        <v>0</v>
      </c>
      <c r="P56" s="10">
        <v>13.4</v>
      </c>
      <c r="Q56" s="10">
        <v>18.7</v>
      </c>
      <c r="R56" s="10">
        <v>31.9</v>
      </c>
      <c r="S56" s="10">
        <v>73.2</v>
      </c>
      <c r="T56" s="10">
        <v>0</v>
      </c>
    </row>
    <row r="57" spans="1:20" x14ac:dyDescent="0.25">
      <c r="A57" s="10">
        <v>1</v>
      </c>
      <c r="B57" s="10">
        <v>16</v>
      </c>
      <c r="C57" s="10">
        <v>28.8</v>
      </c>
      <c r="D57" s="10">
        <v>28.4</v>
      </c>
      <c r="E57" s="10">
        <v>86.4</v>
      </c>
      <c r="F57" s="10">
        <v>0</v>
      </c>
      <c r="G57" s="5"/>
      <c r="H57" s="10">
        <v>0</v>
      </c>
      <c r="I57" s="10">
        <v>13.8</v>
      </c>
      <c r="J57" s="10">
        <v>27.3</v>
      </c>
      <c r="K57" s="10">
        <v>29.6</v>
      </c>
      <c r="L57" s="10">
        <v>97.9</v>
      </c>
      <c r="M57" s="10">
        <v>0</v>
      </c>
      <c r="O57" s="10">
        <v>1</v>
      </c>
      <c r="P57" s="10">
        <v>16</v>
      </c>
      <c r="Q57" s="10">
        <v>28.8</v>
      </c>
      <c r="R57" s="10">
        <v>28.4</v>
      </c>
      <c r="S57" s="10">
        <v>86.4</v>
      </c>
      <c r="T57" s="10">
        <v>0</v>
      </c>
    </row>
    <row r="58" spans="1:20" x14ac:dyDescent="0.25">
      <c r="A58" s="10">
        <v>0</v>
      </c>
      <c r="B58" s="10">
        <v>15.2</v>
      </c>
      <c r="C58" s="10">
        <v>27</v>
      </c>
      <c r="D58" s="10">
        <v>32.4</v>
      </c>
      <c r="E58" s="10">
        <v>71.599999999999994</v>
      </c>
      <c r="F58" s="10">
        <v>0</v>
      </c>
      <c r="G58" s="5"/>
      <c r="H58" s="10">
        <v>1</v>
      </c>
      <c r="I58" s="10">
        <v>10.8</v>
      </c>
      <c r="J58" s="10">
        <v>16.8</v>
      </c>
      <c r="K58" s="10">
        <v>30.6</v>
      </c>
      <c r="L58" s="10">
        <v>79.599999999999994</v>
      </c>
      <c r="M58" s="10">
        <v>1</v>
      </c>
      <c r="O58" s="10">
        <v>0</v>
      </c>
      <c r="P58" s="10">
        <v>15.2</v>
      </c>
      <c r="Q58" s="10">
        <v>27</v>
      </c>
      <c r="R58" s="10">
        <v>32.4</v>
      </c>
      <c r="S58" s="10">
        <v>71.599999999999994</v>
      </c>
      <c r="T58" s="10">
        <v>0</v>
      </c>
    </row>
    <row r="59" spans="1:20" x14ac:dyDescent="0.25">
      <c r="A59" s="10">
        <v>0</v>
      </c>
      <c r="B59" s="10">
        <v>16.5</v>
      </c>
      <c r="C59" s="10">
        <v>27.6</v>
      </c>
      <c r="D59" s="10">
        <v>29.3</v>
      </c>
      <c r="E59" s="10">
        <v>77.8</v>
      </c>
      <c r="F59" s="10">
        <v>0</v>
      </c>
      <c r="G59" s="5"/>
      <c r="H59" s="10">
        <v>1</v>
      </c>
      <c r="I59" s="10">
        <v>13.8</v>
      </c>
      <c r="J59" s="10">
        <v>20.9</v>
      </c>
      <c r="K59" s="10">
        <v>31.2</v>
      </c>
      <c r="L59" s="10">
        <v>97.4</v>
      </c>
      <c r="M59" s="10">
        <v>0</v>
      </c>
      <c r="O59" s="10">
        <v>0</v>
      </c>
      <c r="P59" s="10">
        <v>16.5</v>
      </c>
      <c r="Q59" s="10">
        <v>27.6</v>
      </c>
      <c r="R59" s="10">
        <v>29.3</v>
      </c>
      <c r="S59" s="10">
        <v>77.8</v>
      </c>
      <c r="T59" s="10">
        <v>0</v>
      </c>
    </row>
    <row r="60" spans="1:20" x14ac:dyDescent="0.25">
      <c r="A60" s="10">
        <v>0</v>
      </c>
      <c r="B60" s="10">
        <v>13.7</v>
      </c>
      <c r="C60" s="10">
        <v>19.5</v>
      </c>
      <c r="D60" s="10">
        <v>31.7</v>
      </c>
      <c r="E60" s="10">
        <v>77.099999999999994</v>
      </c>
      <c r="F60" s="10">
        <v>0</v>
      </c>
      <c r="G60" s="5"/>
      <c r="H60" s="10">
        <v>0</v>
      </c>
      <c r="I60" s="10">
        <v>12.4</v>
      </c>
      <c r="J60" s="10">
        <v>20.8</v>
      </c>
      <c r="K60" s="10">
        <v>30.7</v>
      </c>
      <c r="L60" s="10">
        <v>98.2</v>
      </c>
      <c r="M60" s="10">
        <v>0</v>
      </c>
      <c r="O60" s="10">
        <v>0</v>
      </c>
      <c r="P60" s="10">
        <v>13.7</v>
      </c>
      <c r="Q60" s="10">
        <v>19.5</v>
      </c>
      <c r="R60" s="10">
        <v>31.7</v>
      </c>
      <c r="S60" s="10">
        <v>77.099999999999994</v>
      </c>
      <c r="T60" s="10">
        <v>0</v>
      </c>
    </row>
    <row r="61" spans="1:20" x14ac:dyDescent="0.25">
      <c r="A61" s="10">
        <v>0</v>
      </c>
      <c r="B61" s="10">
        <v>15.5</v>
      </c>
      <c r="C61" s="10">
        <v>16.899999999999999</v>
      </c>
      <c r="D61" s="10">
        <v>31.2</v>
      </c>
      <c r="E61" s="10">
        <v>95.9</v>
      </c>
      <c r="F61" s="10">
        <v>0</v>
      </c>
      <c r="G61" s="5"/>
      <c r="H61" s="10">
        <v>0</v>
      </c>
      <c r="I61" s="10">
        <v>12.4</v>
      </c>
      <c r="J61" s="10">
        <v>23</v>
      </c>
      <c r="K61" s="10">
        <v>32.200000000000003</v>
      </c>
      <c r="L61" s="10">
        <v>76.099999999999994</v>
      </c>
      <c r="M61" s="10">
        <v>0</v>
      </c>
      <c r="O61" s="10">
        <v>0</v>
      </c>
      <c r="P61" s="10">
        <v>15.5</v>
      </c>
      <c r="Q61" s="10">
        <v>16.899999999999999</v>
      </c>
      <c r="R61" s="10">
        <v>31.2</v>
      </c>
      <c r="S61" s="10">
        <v>95.9</v>
      </c>
      <c r="T61" s="10">
        <v>0</v>
      </c>
    </row>
    <row r="62" spans="1:20" x14ac:dyDescent="0.25">
      <c r="A62" s="10">
        <v>1</v>
      </c>
      <c r="B62" s="10">
        <v>16.7</v>
      </c>
      <c r="C62" s="10">
        <v>24.8</v>
      </c>
      <c r="D62" s="10">
        <v>29.6</v>
      </c>
      <c r="E62" s="10">
        <v>93.4</v>
      </c>
      <c r="F62" s="10">
        <v>0</v>
      </c>
      <c r="G62" s="5"/>
      <c r="H62" s="10">
        <v>1</v>
      </c>
      <c r="I62" s="10">
        <v>16.399999999999999</v>
      </c>
      <c r="J62" s="10">
        <v>18.7</v>
      </c>
      <c r="K62" s="10">
        <v>29.6</v>
      </c>
      <c r="L62" s="10">
        <v>96.4</v>
      </c>
      <c r="M62" s="10">
        <v>0</v>
      </c>
      <c r="O62" s="10">
        <v>1</v>
      </c>
      <c r="P62" s="10">
        <v>16.7</v>
      </c>
      <c r="Q62" s="10">
        <v>24.8</v>
      </c>
      <c r="R62" s="10">
        <v>29.6</v>
      </c>
      <c r="S62" s="10">
        <v>93.4</v>
      </c>
      <c r="T62" s="10">
        <v>0</v>
      </c>
    </row>
    <row r="63" spans="1:20" x14ac:dyDescent="0.25">
      <c r="A63" s="10">
        <v>1</v>
      </c>
      <c r="B63" s="10">
        <v>14.5</v>
      </c>
      <c r="C63" s="10">
        <v>25.2</v>
      </c>
      <c r="D63" s="10">
        <v>31.5</v>
      </c>
      <c r="E63" s="10">
        <v>91.7</v>
      </c>
      <c r="F63" s="10">
        <v>0</v>
      </c>
      <c r="G63" s="5"/>
      <c r="H63" s="10">
        <v>1</v>
      </c>
      <c r="I63" s="10">
        <v>10.4</v>
      </c>
      <c r="J63" s="10">
        <v>29.6</v>
      </c>
      <c r="K63" s="10">
        <v>28.3</v>
      </c>
      <c r="L63" s="10">
        <v>101</v>
      </c>
      <c r="M63" s="10">
        <v>1</v>
      </c>
      <c r="O63" s="10">
        <v>1</v>
      </c>
      <c r="P63" s="10">
        <v>14.5</v>
      </c>
      <c r="Q63" s="10">
        <v>25.2</v>
      </c>
      <c r="R63" s="10">
        <v>31.5</v>
      </c>
      <c r="S63" s="10">
        <v>91.7</v>
      </c>
      <c r="T63" s="10">
        <v>0</v>
      </c>
    </row>
    <row r="64" spans="1:20" x14ac:dyDescent="0.25">
      <c r="A64" s="10">
        <v>1</v>
      </c>
      <c r="B64" s="10">
        <v>14.4</v>
      </c>
      <c r="C64" s="10">
        <v>18.399999999999999</v>
      </c>
      <c r="D64" s="10">
        <v>32.1</v>
      </c>
      <c r="E64" s="10">
        <v>95.6</v>
      </c>
      <c r="F64" s="10">
        <v>0</v>
      </c>
      <c r="G64" s="5"/>
      <c r="H64" s="10">
        <v>1</v>
      </c>
      <c r="I64" s="10">
        <v>11.5</v>
      </c>
      <c r="J64" s="10">
        <v>26.1</v>
      </c>
      <c r="K64" s="10">
        <v>28.6</v>
      </c>
      <c r="L64" s="10">
        <v>91</v>
      </c>
      <c r="M64" s="10">
        <v>1</v>
      </c>
      <c r="O64" s="10">
        <v>1</v>
      </c>
      <c r="P64" s="10">
        <v>14.4</v>
      </c>
      <c r="Q64" s="10">
        <v>18.399999999999999</v>
      </c>
      <c r="R64" s="10">
        <v>32.1</v>
      </c>
      <c r="S64" s="10">
        <v>95.6</v>
      </c>
      <c r="T64" s="10">
        <v>0</v>
      </c>
    </row>
    <row r="65" spans="1:20" x14ac:dyDescent="0.25">
      <c r="A65" s="10">
        <v>0</v>
      </c>
      <c r="B65" s="10">
        <v>14.8</v>
      </c>
      <c r="C65" s="10">
        <v>20.399999999999999</v>
      </c>
      <c r="D65" s="10">
        <v>28.5</v>
      </c>
      <c r="E65" s="10">
        <v>91.1</v>
      </c>
      <c r="F65" s="10">
        <v>0</v>
      </c>
      <c r="G65" s="5"/>
      <c r="H65" s="10">
        <v>1</v>
      </c>
      <c r="I65" s="10">
        <v>11.1</v>
      </c>
      <c r="J65" s="10">
        <v>22.8</v>
      </c>
      <c r="K65" s="10">
        <v>28</v>
      </c>
      <c r="L65" s="10">
        <v>97.3</v>
      </c>
      <c r="M65" s="10">
        <v>1</v>
      </c>
      <c r="O65" s="10">
        <v>0</v>
      </c>
      <c r="P65" s="10">
        <v>14.8</v>
      </c>
      <c r="Q65" s="10">
        <v>20.399999999999999</v>
      </c>
      <c r="R65" s="10">
        <v>28.5</v>
      </c>
      <c r="S65" s="10">
        <v>91.1</v>
      </c>
      <c r="T65" s="10">
        <v>0</v>
      </c>
    </row>
    <row r="66" spans="1:20" x14ac:dyDescent="0.25">
      <c r="A66" s="10">
        <v>0</v>
      </c>
      <c r="B66" s="10">
        <v>13.3</v>
      </c>
      <c r="C66" s="10">
        <v>16.399999999999999</v>
      </c>
      <c r="D66" s="10">
        <v>29.1</v>
      </c>
      <c r="E66" s="10">
        <v>70</v>
      </c>
      <c r="F66" s="10">
        <v>0</v>
      </c>
      <c r="G66" s="5"/>
      <c r="H66" s="10">
        <v>0</v>
      </c>
      <c r="I66" s="10">
        <v>16.7</v>
      </c>
      <c r="J66" s="10">
        <v>23.4</v>
      </c>
      <c r="K66" s="10">
        <v>29.8</v>
      </c>
      <c r="L66" s="10">
        <v>92.5</v>
      </c>
      <c r="M66" s="10">
        <v>0</v>
      </c>
      <c r="O66" s="10">
        <v>0</v>
      </c>
      <c r="P66" s="10">
        <v>13.3</v>
      </c>
      <c r="Q66" s="10">
        <v>16.399999999999999</v>
      </c>
      <c r="R66" s="10">
        <v>29.1</v>
      </c>
      <c r="S66" s="10">
        <v>70</v>
      </c>
      <c r="T66" s="10">
        <v>0</v>
      </c>
    </row>
    <row r="67" spans="1:20" x14ac:dyDescent="0.25">
      <c r="A67" s="10">
        <v>0</v>
      </c>
      <c r="B67" s="10">
        <v>15.5</v>
      </c>
      <c r="C67" s="10">
        <v>21.9</v>
      </c>
      <c r="D67" s="10">
        <v>31.4</v>
      </c>
      <c r="E67" s="10">
        <v>100.5</v>
      </c>
      <c r="F67" s="10">
        <v>0</v>
      </c>
      <c r="G67" s="5"/>
      <c r="H67" s="10">
        <v>0</v>
      </c>
      <c r="I67" s="10">
        <v>10.4</v>
      </c>
      <c r="J67" s="10">
        <v>27.1</v>
      </c>
      <c r="K67" s="10">
        <v>29.8</v>
      </c>
      <c r="L67" s="10">
        <v>75.2</v>
      </c>
      <c r="M67" s="10">
        <v>1</v>
      </c>
      <c r="O67" s="10">
        <v>0</v>
      </c>
      <c r="P67" s="10">
        <v>15.5</v>
      </c>
      <c r="Q67" s="10">
        <v>21.9</v>
      </c>
      <c r="R67" s="10">
        <v>31.4</v>
      </c>
      <c r="S67" s="10">
        <v>100.5</v>
      </c>
      <c r="T67" s="10">
        <v>0</v>
      </c>
    </row>
    <row r="68" spans="1:20" x14ac:dyDescent="0.25">
      <c r="A68" s="10">
        <v>0</v>
      </c>
      <c r="B68" s="10">
        <v>15.9</v>
      </c>
      <c r="C68" s="10">
        <v>28.7</v>
      </c>
      <c r="D68" s="10">
        <v>31</v>
      </c>
      <c r="E68" s="10">
        <v>81.599999999999994</v>
      </c>
      <c r="F68" s="10">
        <v>0</v>
      </c>
      <c r="G68" s="5"/>
      <c r="H68" s="10">
        <v>0</v>
      </c>
      <c r="I68" s="10">
        <v>16.3</v>
      </c>
      <c r="J68" s="10">
        <v>28.6</v>
      </c>
      <c r="K68" s="10">
        <v>30.9</v>
      </c>
      <c r="L68" s="10">
        <v>99.9</v>
      </c>
      <c r="M68" s="10">
        <v>0</v>
      </c>
      <c r="O68" s="10">
        <v>0</v>
      </c>
      <c r="P68" s="10">
        <v>15.9</v>
      </c>
      <c r="Q68" s="10">
        <v>28.7</v>
      </c>
      <c r="R68" s="10">
        <v>31</v>
      </c>
      <c r="S68" s="10">
        <v>81.599999999999994</v>
      </c>
      <c r="T68" s="10">
        <v>0</v>
      </c>
    </row>
    <row r="69" spans="1:20" x14ac:dyDescent="0.25">
      <c r="A69" s="10">
        <v>1</v>
      </c>
      <c r="B69" s="10">
        <v>15.3</v>
      </c>
      <c r="C69" s="10">
        <v>25.3</v>
      </c>
      <c r="D69" s="10">
        <v>32.200000000000003</v>
      </c>
      <c r="E69" s="10">
        <v>96.6</v>
      </c>
      <c r="F69" s="10">
        <v>0</v>
      </c>
      <c r="G69" s="5"/>
      <c r="H69" s="10">
        <v>1</v>
      </c>
      <c r="I69" s="10">
        <v>11.5</v>
      </c>
      <c r="J69" s="10">
        <v>21.4</v>
      </c>
      <c r="K69" s="10">
        <v>32.5</v>
      </c>
      <c r="L69" s="10">
        <v>76.599999999999994</v>
      </c>
      <c r="M69" s="10">
        <v>1</v>
      </c>
      <c r="O69" s="10">
        <v>1</v>
      </c>
      <c r="P69" s="10">
        <v>15.3</v>
      </c>
      <c r="Q69" s="10">
        <v>25.3</v>
      </c>
      <c r="R69" s="10">
        <v>32.200000000000003</v>
      </c>
      <c r="S69" s="10">
        <v>96.6</v>
      </c>
      <c r="T69" s="10">
        <v>0</v>
      </c>
    </row>
    <row r="70" spans="1:20" x14ac:dyDescent="0.25">
      <c r="A70" s="10">
        <v>1</v>
      </c>
      <c r="B70" s="10">
        <v>16.3</v>
      </c>
      <c r="C70" s="10">
        <v>20.9</v>
      </c>
      <c r="D70" s="10">
        <v>31.2</v>
      </c>
      <c r="E70" s="10">
        <v>72.5</v>
      </c>
      <c r="F70" s="10">
        <v>0</v>
      </c>
      <c r="G70" s="5"/>
      <c r="H70" s="10">
        <v>0</v>
      </c>
      <c r="I70" s="10">
        <v>13.7</v>
      </c>
      <c r="J70" s="10">
        <v>17.100000000000001</v>
      </c>
      <c r="K70" s="10">
        <v>29.9</v>
      </c>
      <c r="L70" s="10">
        <v>78.400000000000006</v>
      </c>
      <c r="M70" s="10">
        <v>0</v>
      </c>
      <c r="O70" s="10">
        <v>1</v>
      </c>
      <c r="P70" s="10">
        <v>16.3</v>
      </c>
      <c r="Q70" s="10">
        <v>20.9</v>
      </c>
      <c r="R70" s="10">
        <v>31.2</v>
      </c>
      <c r="S70" s="10">
        <v>72.5</v>
      </c>
      <c r="T70" s="10">
        <v>0</v>
      </c>
    </row>
    <row r="71" spans="1:20" x14ac:dyDescent="0.25">
      <c r="A71" s="10">
        <v>1</v>
      </c>
      <c r="B71" s="10">
        <v>16.899999999999999</v>
      </c>
      <c r="C71" s="10">
        <v>24.2</v>
      </c>
      <c r="D71" s="10">
        <v>32.1</v>
      </c>
      <c r="E71" s="10">
        <v>92.5</v>
      </c>
      <c r="F71" s="10">
        <v>0</v>
      </c>
      <c r="G71" s="5"/>
      <c r="H71" s="10">
        <v>0</v>
      </c>
      <c r="I71" s="10">
        <v>11.2</v>
      </c>
      <c r="J71" s="10">
        <v>29.6</v>
      </c>
      <c r="K71" s="10">
        <v>30.3</v>
      </c>
      <c r="L71" s="10">
        <v>74</v>
      </c>
      <c r="M71" s="10">
        <v>1</v>
      </c>
      <c r="O71" s="10">
        <v>1</v>
      </c>
      <c r="P71" s="10">
        <v>16.899999999999999</v>
      </c>
      <c r="Q71" s="10">
        <v>24.2</v>
      </c>
      <c r="R71" s="10">
        <v>32.1</v>
      </c>
      <c r="S71" s="10">
        <v>92.5</v>
      </c>
      <c r="T71" s="10">
        <v>0</v>
      </c>
    </row>
    <row r="72" spans="1:20" x14ac:dyDescent="0.25">
      <c r="A72" s="10">
        <v>0</v>
      </c>
      <c r="B72" s="10">
        <v>12.8</v>
      </c>
      <c r="C72" s="10">
        <v>22.9</v>
      </c>
      <c r="D72" s="10">
        <v>28.8</v>
      </c>
      <c r="E72" s="10">
        <v>72</v>
      </c>
      <c r="F72" s="10">
        <v>0</v>
      </c>
      <c r="G72" s="5"/>
      <c r="H72" s="10">
        <v>1</v>
      </c>
      <c r="I72" s="10">
        <v>12.7</v>
      </c>
      <c r="J72" s="10">
        <v>23.6</v>
      </c>
      <c r="K72" s="10">
        <v>30.4</v>
      </c>
      <c r="L72" s="10">
        <v>69.8</v>
      </c>
      <c r="M72" s="10">
        <v>1</v>
      </c>
      <c r="O72" s="10">
        <v>0</v>
      </c>
      <c r="P72" s="10">
        <v>12.8</v>
      </c>
      <c r="Q72" s="10">
        <v>22.9</v>
      </c>
      <c r="R72" s="10">
        <v>28.8</v>
      </c>
      <c r="S72" s="10">
        <v>72</v>
      </c>
      <c r="T72" s="10">
        <v>0</v>
      </c>
    </row>
    <row r="73" spans="1:20" x14ac:dyDescent="0.25">
      <c r="A73" s="10">
        <v>0</v>
      </c>
      <c r="B73" s="10">
        <v>16.100000000000001</v>
      </c>
      <c r="C73" s="10">
        <v>20.8</v>
      </c>
      <c r="D73" s="10">
        <v>31.2</v>
      </c>
      <c r="E73" s="10">
        <v>79.099999999999994</v>
      </c>
      <c r="F73" s="10">
        <v>0</v>
      </c>
      <c r="G73" s="5"/>
      <c r="H73" s="10">
        <v>1</v>
      </c>
      <c r="I73" s="10">
        <v>11.2</v>
      </c>
      <c r="J73" s="10">
        <v>18.5</v>
      </c>
      <c r="K73" s="10">
        <v>29.3</v>
      </c>
      <c r="L73" s="10">
        <v>93.9</v>
      </c>
      <c r="M73" s="10">
        <v>1</v>
      </c>
      <c r="O73" s="10">
        <v>0</v>
      </c>
      <c r="P73" s="10">
        <v>16.100000000000001</v>
      </c>
      <c r="Q73" s="10">
        <v>20.8</v>
      </c>
      <c r="R73" s="10">
        <v>31.2</v>
      </c>
      <c r="S73" s="10">
        <v>79.099999999999994</v>
      </c>
      <c r="T73" s="10">
        <v>0</v>
      </c>
    </row>
    <row r="74" spans="1:20" x14ac:dyDescent="0.25">
      <c r="A74" s="10">
        <v>1</v>
      </c>
      <c r="B74" s="10">
        <v>16.5</v>
      </c>
      <c r="C74" s="10">
        <v>21.9</v>
      </c>
      <c r="D74" s="10">
        <v>30.7</v>
      </c>
      <c r="E74" s="10">
        <v>71.099999999999994</v>
      </c>
      <c r="F74" s="10">
        <v>0</v>
      </c>
      <c r="G74" s="5"/>
      <c r="H74" s="10">
        <v>1</v>
      </c>
      <c r="I74" s="10">
        <v>10.7</v>
      </c>
      <c r="J74" s="10">
        <v>21.3</v>
      </c>
      <c r="K74" s="10">
        <v>28.8</v>
      </c>
      <c r="L74" s="10">
        <v>78.3</v>
      </c>
      <c r="M74" s="10">
        <v>1</v>
      </c>
      <c r="O74" s="10">
        <v>1</v>
      </c>
      <c r="P74" s="10">
        <v>16.5</v>
      </c>
      <c r="Q74" s="10">
        <v>21.9</v>
      </c>
      <c r="R74" s="10">
        <v>30.7</v>
      </c>
      <c r="S74" s="10">
        <v>71.099999999999994</v>
      </c>
      <c r="T74" s="10">
        <v>0</v>
      </c>
    </row>
    <row r="75" spans="1:20" x14ac:dyDescent="0.25">
      <c r="A75" s="10">
        <v>0</v>
      </c>
      <c r="B75" s="10">
        <v>13.4</v>
      </c>
      <c r="C75" s="10">
        <v>27.9</v>
      </c>
      <c r="D75" s="10">
        <v>29</v>
      </c>
      <c r="E75" s="10">
        <v>84.4</v>
      </c>
      <c r="F75" s="10">
        <v>0</v>
      </c>
      <c r="G75" s="5"/>
      <c r="H75" s="10">
        <v>0</v>
      </c>
      <c r="I75" s="10">
        <v>12.1</v>
      </c>
      <c r="J75" s="10">
        <v>19.3</v>
      </c>
      <c r="K75" s="10">
        <v>30.3</v>
      </c>
      <c r="L75" s="10">
        <v>83.3</v>
      </c>
      <c r="M75" s="10">
        <v>0</v>
      </c>
      <c r="O75" s="10">
        <v>0</v>
      </c>
      <c r="P75" s="10">
        <v>13.4</v>
      </c>
      <c r="Q75" s="10">
        <v>27.9</v>
      </c>
      <c r="R75" s="10">
        <v>29</v>
      </c>
      <c r="S75" s="10">
        <v>84.4</v>
      </c>
      <c r="T75" s="10">
        <v>0</v>
      </c>
    </row>
    <row r="76" spans="1:20" x14ac:dyDescent="0.25">
      <c r="A76" s="10">
        <v>1</v>
      </c>
      <c r="B76" s="10">
        <v>16.8</v>
      </c>
      <c r="C76" s="10">
        <v>19.899999999999999</v>
      </c>
      <c r="D76" s="10">
        <v>32.4</v>
      </c>
      <c r="E76" s="10">
        <v>90.9</v>
      </c>
      <c r="F76" s="10">
        <v>0</v>
      </c>
      <c r="G76" s="5"/>
      <c r="H76" s="10">
        <v>1</v>
      </c>
      <c r="I76" s="10">
        <v>16.600000000000001</v>
      </c>
      <c r="J76" s="10">
        <v>21.4</v>
      </c>
      <c r="K76" s="10">
        <v>28.8</v>
      </c>
      <c r="L76" s="10">
        <v>78.400000000000006</v>
      </c>
      <c r="M76" s="10">
        <v>0</v>
      </c>
      <c r="O76" s="10">
        <v>1</v>
      </c>
      <c r="P76" s="10">
        <v>16.8</v>
      </c>
      <c r="Q76" s="10">
        <v>19.899999999999999</v>
      </c>
      <c r="R76" s="10">
        <v>32.4</v>
      </c>
      <c r="S76" s="10">
        <v>90.9</v>
      </c>
      <c r="T76" s="10">
        <v>0</v>
      </c>
    </row>
    <row r="77" spans="1:20" x14ac:dyDescent="0.25">
      <c r="A77" s="10">
        <v>0</v>
      </c>
      <c r="B77" s="10">
        <v>12.2</v>
      </c>
      <c r="C77" s="10">
        <v>23.3</v>
      </c>
      <c r="D77" s="10">
        <v>30.4</v>
      </c>
      <c r="E77" s="10">
        <v>100.2</v>
      </c>
      <c r="F77" s="10">
        <v>0</v>
      </c>
      <c r="G77" s="5"/>
      <c r="H77" s="10">
        <v>0</v>
      </c>
      <c r="I77" s="10">
        <v>13.2</v>
      </c>
      <c r="J77" s="10">
        <v>20.2</v>
      </c>
      <c r="K77" s="10">
        <v>28.5</v>
      </c>
      <c r="L77" s="10">
        <v>85.2</v>
      </c>
      <c r="M77" s="10">
        <v>0</v>
      </c>
      <c r="O77" s="10">
        <v>0</v>
      </c>
      <c r="P77" s="10">
        <v>12.2</v>
      </c>
      <c r="Q77" s="10">
        <v>23.3</v>
      </c>
      <c r="R77" s="10">
        <v>30.4</v>
      </c>
      <c r="S77" s="10">
        <v>100.2</v>
      </c>
      <c r="T77" s="10">
        <v>0</v>
      </c>
    </row>
    <row r="78" spans="1:20" x14ac:dyDescent="0.25">
      <c r="A78" s="10">
        <v>1</v>
      </c>
      <c r="B78" s="10">
        <v>15.4</v>
      </c>
      <c r="C78" s="10">
        <v>23</v>
      </c>
      <c r="D78" s="10">
        <v>30.3</v>
      </c>
      <c r="E78" s="10">
        <v>87.7</v>
      </c>
      <c r="F78" s="10">
        <v>0</v>
      </c>
      <c r="G78" s="5"/>
      <c r="H78" s="10">
        <v>0</v>
      </c>
      <c r="I78" s="10">
        <v>14.4</v>
      </c>
      <c r="J78" s="10">
        <v>29.8</v>
      </c>
      <c r="K78" s="10">
        <v>31.6</v>
      </c>
      <c r="L78" s="10">
        <v>92.4</v>
      </c>
      <c r="M78" s="10">
        <v>0</v>
      </c>
      <c r="O78" s="10">
        <v>1</v>
      </c>
      <c r="P78" s="10">
        <v>15.4</v>
      </c>
      <c r="Q78" s="10">
        <v>23</v>
      </c>
      <c r="R78" s="10">
        <v>30.3</v>
      </c>
      <c r="S78" s="10">
        <v>87.7</v>
      </c>
      <c r="T78" s="10">
        <v>0</v>
      </c>
    </row>
    <row r="79" spans="1:20" x14ac:dyDescent="0.25">
      <c r="A79" s="10">
        <v>0</v>
      </c>
      <c r="B79" s="10">
        <v>12.6</v>
      </c>
      <c r="C79" s="10">
        <v>18.3</v>
      </c>
      <c r="D79" s="10">
        <v>31.7</v>
      </c>
      <c r="E79" s="10">
        <v>82.8</v>
      </c>
      <c r="F79" s="10">
        <v>0</v>
      </c>
      <c r="G79" s="5"/>
      <c r="H79" s="10">
        <v>1</v>
      </c>
      <c r="I79" s="10">
        <v>13.7</v>
      </c>
      <c r="J79" s="10">
        <v>18.7</v>
      </c>
      <c r="K79" s="10">
        <v>30.3</v>
      </c>
      <c r="L79" s="10">
        <v>69.400000000000006</v>
      </c>
      <c r="M79" s="10">
        <v>0</v>
      </c>
      <c r="O79" s="10">
        <v>0</v>
      </c>
      <c r="P79" s="10">
        <v>12.6</v>
      </c>
      <c r="Q79" s="10">
        <v>18.3</v>
      </c>
      <c r="R79" s="10">
        <v>31.7</v>
      </c>
      <c r="S79" s="10">
        <v>82.8</v>
      </c>
      <c r="T79" s="10">
        <v>0</v>
      </c>
    </row>
    <row r="80" spans="1:20" x14ac:dyDescent="0.25">
      <c r="A80" s="10">
        <v>1</v>
      </c>
      <c r="B80" s="10">
        <v>14.3</v>
      </c>
      <c r="C80" s="10">
        <v>17.5</v>
      </c>
      <c r="D80" s="10">
        <v>30.6</v>
      </c>
      <c r="E80" s="10">
        <v>75</v>
      </c>
      <c r="F80" s="10">
        <v>0</v>
      </c>
      <c r="G80" s="5"/>
      <c r="H80" s="10">
        <v>1</v>
      </c>
      <c r="I80" s="10">
        <v>10.7</v>
      </c>
      <c r="J80" s="10">
        <v>19</v>
      </c>
      <c r="K80" s="10">
        <v>32.200000000000003</v>
      </c>
      <c r="L80" s="10">
        <v>77.099999999999994</v>
      </c>
      <c r="M80" s="10">
        <v>1</v>
      </c>
      <c r="O80" s="10">
        <v>1</v>
      </c>
      <c r="P80" s="10">
        <v>14.3</v>
      </c>
      <c r="Q80" s="10">
        <v>17.5</v>
      </c>
      <c r="R80" s="10">
        <v>30.6</v>
      </c>
      <c r="S80" s="10">
        <v>75</v>
      </c>
      <c r="T80" s="10">
        <v>0</v>
      </c>
    </row>
    <row r="81" spans="1:20" x14ac:dyDescent="0.25">
      <c r="A81" s="10">
        <v>0</v>
      </c>
      <c r="B81" s="10">
        <v>16.3</v>
      </c>
      <c r="C81" s="10">
        <v>19.7</v>
      </c>
      <c r="D81" s="10">
        <v>31.6</v>
      </c>
      <c r="E81" s="10">
        <v>75.400000000000006</v>
      </c>
      <c r="F81" s="10">
        <v>0</v>
      </c>
      <c r="G81" s="5"/>
      <c r="H81" s="10">
        <v>0</v>
      </c>
      <c r="I81" s="10">
        <v>16.3</v>
      </c>
      <c r="J81" s="10">
        <v>21.6</v>
      </c>
      <c r="K81" s="10">
        <v>32.299999999999997</v>
      </c>
      <c r="L81" s="10">
        <v>98.4</v>
      </c>
      <c r="M81" s="10">
        <v>0</v>
      </c>
      <c r="O81" s="10">
        <v>0</v>
      </c>
      <c r="P81" s="10">
        <v>16.3</v>
      </c>
      <c r="Q81" s="10">
        <v>19.7</v>
      </c>
      <c r="R81" s="10">
        <v>31.6</v>
      </c>
      <c r="S81" s="10">
        <v>75.400000000000006</v>
      </c>
      <c r="T81" s="10">
        <v>0</v>
      </c>
    </row>
    <row r="82" spans="1:20" x14ac:dyDescent="0.25">
      <c r="A82" s="10">
        <v>0</v>
      </c>
      <c r="B82" s="10">
        <v>12.2</v>
      </c>
      <c r="C82" s="10">
        <v>17.600000000000001</v>
      </c>
      <c r="D82" s="10">
        <v>30.7</v>
      </c>
      <c r="E82" s="10">
        <v>88.8</v>
      </c>
      <c r="F82" s="10">
        <v>0</v>
      </c>
      <c r="G82" s="5"/>
      <c r="H82" s="10">
        <v>0</v>
      </c>
      <c r="I82" s="10">
        <v>13.2</v>
      </c>
      <c r="J82" s="10">
        <v>23.5</v>
      </c>
      <c r="K82" s="10">
        <v>31.3</v>
      </c>
      <c r="L82" s="10">
        <v>85.9</v>
      </c>
      <c r="M82" s="10">
        <v>0</v>
      </c>
      <c r="O82" s="10">
        <v>0</v>
      </c>
      <c r="P82" s="10">
        <v>12.2</v>
      </c>
      <c r="Q82" s="10">
        <v>17.600000000000001</v>
      </c>
      <c r="R82" s="10">
        <v>30.7</v>
      </c>
      <c r="S82" s="10">
        <v>88.8</v>
      </c>
      <c r="T82" s="10">
        <v>0</v>
      </c>
    </row>
    <row r="83" spans="1:20" x14ac:dyDescent="0.25">
      <c r="A83" s="10">
        <v>0</v>
      </c>
      <c r="B83" s="10">
        <v>12.6</v>
      </c>
      <c r="C83" s="10">
        <v>21.5</v>
      </c>
      <c r="D83" s="10">
        <v>31.6</v>
      </c>
      <c r="E83" s="10">
        <v>99.7</v>
      </c>
      <c r="F83" s="10">
        <v>0</v>
      </c>
      <c r="G83" s="5"/>
      <c r="H83" s="10">
        <v>1</v>
      </c>
      <c r="I83" s="10">
        <v>16.8</v>
      </c>
      <c r="J83" s="10">
        <v>19.2</v>
      </c>
      <c r="K83" s="10">
        <v>28.1</v>
      </c>
      <c r="L83" s="10">
        <v>100.8</v>
      </c>
      <c r="M83" s="10">
        <v>0</v>
      </c>
      <c r="O83" s="10">
        <v>0</v>
      </c>
      <c r="P83" s="10">
        <v>12.6</v>
      </c>
      <c r="Q83" s="10">
        <v>21.5</v>
      </c>
      <c r="R83" s="10">
        <v>31.6</v>
      </c>
      <c r="S83" s="10">
        <v>99.7</v>
      </c>
      <c r="T83" s="10">
        <v>0</v>
      </c>
    </row>
    <row r="84" spans="1:20" x14ac:dyDescent="0.25">
      <c r="A84" s="10">
        <v>1</v>
      </c>
      <c r="B84" s="10">
        <v>13.9</v>
      </c>
      <c r="C84" s="10">
        <v>20.6</v>
      </c>
      <c r="D84" s="10">
        <v>29.2</v>
      </c>
      <c r="E84" s="10">
        <v>98.5</v>
      </c>
      <c r="F84" s="10">
        <v>0</v>
      </c>
      <c r="G84" s="5"/>
      <c r="H84" s="10">
        <v>1</v>
      </c>
      <c r="I84" s="10">
        <v>16.5</v>
      </c>
      <c r="J84" s="10">
        <v>26.4</v>
      </c>
      <c r="K84" s="10">
        <v>27.9</v>
      </c>
      <c r="L84" s="10">
        <v>101.5</v>
      </c>
      <c r="M84" s="10">
        <v>0</v>
      </c>
      <c r="O84" s="10">
        <v>1</v>
      </c>
      <c r="P84" s="10">
        <v>13.9</v>
      </c>
      <c r="Q84" s="10">
        <v>20.6</v>
      </c>
      <c r="R84" s="10">
        <v>29.2</v>
      </c>
      <c r="S84" s="10">
        <v>98.5</v>
      </c>
      <c r="T84" s="10">
        <v>0</v>
      </c>
    </row>
    <row r="85" spans="1:20" x14ac:dyDescent="0.25">
      <c r="A85" s="10">
        <v>1</v>
      </c>
      <c r="B85" s="10">
        <v>16.5</v>
      </c>
      <c r="C85" s="10">
        <v>18.5</v>
      </c>
      <c r="D85" s="10">
        <v>28.4</v>
      </c>
      <c r="E85" s="10">
        <v>91.6</v>
      </c>
      <c r="F85" s="10">
        <v>0</v>
      </c>
      <c r="G85" s="5"/>
      <c r="H85" s="10">
        <v>0</v>
      </c>
      <c r="I85" s="10">
        <v>11.8</v>
      </c>
      <c r="J85" s="10">
        <v>18.600000000000001</v>
      </c>
      <c r="K85" s="10">
        <v>29.4</v>
      </c>
      <c r="L85" s="10">
        <v>80.2</v>
      </c>
      <c r="M85" s="10">
        <v>1</v>
      </c>
      <c r="O85" s="10">
        <v>1</v>
      </c>
      <c r="P85" s="10">
        <v>16.5</v>
      </c>
      <c r="Q85" s="10">
        <v>18.5</v>
      </c>
      <c r="R85" s="10">
        <v>28.4</v>
      </c>
      <c r="S85" s="10">
        <v>91.6</v>
      </c>
      <c r="T85" s="10">
        <v>0</v>
      </c>
    </row>
    <row r="86" spans="1:20" x14ac:dyDescent="0.25">
      <c r="A86" s="10">
        <v>0</v>
      </c>
      <c r="B86" s="10">
        <v>16.899999999999999</v>
      </c>
      <c r="C86" s="10">
        <v>16.7</v>
      </c>
      <c r="D86" s="10">
        <v>30</v>
      </c>
      <c r="E86" s="10">
        <v>78.400000000000006</v>
      </c>
      <c r="F86" s="10">
        <v>0</v>
      </c>
      <c r="G86" s="5"/>
      <c r="H86" s="10">
        <v>1</v>
      </c>
      <c r="I86" s="10">
        <v>12.8</v>
      </c>
      <c r="J86" s="10">
        <v>16.3</v>
      </c>
      <c r="K86" s="10">
        <v>31.1</v>
      </c>
      <c r="L86" s="10">
        <v>100.9</v>
      </c>
      <c r="M86" s="10">
        <v>1</v>
      </c>
      <c r="O86" s="10">
        <v>0</v>
      </c>
      <c r="P86" s="10">
        <v>16.899999999999999</v>
      </c>
      <c r="Q86" s="10">
        <v>16.7</v>
      </c>
      <c r="R86" s="10">
        <v>30</v>
      </c>
      <c r="S86" s="10">
        <v>78.400000000000006</v>
      </c>
      <c r="T86" s="10">
        <v>0</v>
      </c>
    </row>
    <row r="87" spans="1:20" x14ac:dyDescent="0.25">
      <c r="A87" s="10">
        <v>1</v>
      </c>
      <c r="B87" s="10">
        <v>13.7</v>
      </c>
      <c r="C87" s="10">
        <v>24.1</v>
      </c>
      <c r="D87" s="10">
        <v>27.8</v>
      </c>
      <c r="E87" s="10">
        <v>86.3</v>
      </c>
      <c r="F87" s="10">
        <v>0</v>
      </c>
      <c r="G87" s="5"/>
      <c r="H87" s="10">
        <v>0</v>
      </c>
      <c r="I87" s="10">
        <v>11.1</v>
      </c>
      <c r="J87" s="10">
        <v>24.3</v>
      </c>
      <c r="K87" s="10">
        <v>32.5</v>
      </c>
      <c r="L87" s="10">
        <v>91</v>
      </c>
      <c r="M87" s="10">
        <v>1</v>
      </c>
      <c r="O87" s="10">
        <v>1</v>
      </c>
      <c r="P87" s="10">
        <v>13.7</v>
      </c>
      <c r="Q87" s="10">
        <v>24.1</v>
      </c>
      <c r="R87" s="10">
        <v>27.8</v>
      </c>
      <c r="S87" s="10">
        <v>86.3</v>
      </c>
      <c r="T87" s="10">
        <v>0</v>
      </c>
    </row>
    <row r="88" spans="1:20" x14ac:dyDescent="0.25">
      <c r="A88" s="10">
        <v>1</v>
      </c>
      <c r="B88" s="10">
        <v>16.8</v>
      </c>
      <c r="C88" s="10">
        <v>24.3</v>
      </c>
      <c r="D88" s="10">
        <v>30.5</v>
      </c>
      <c r="E88" s="10">
        <v>90.7</v>
      </c>
      <c r="F88" s="10">
        <v>0</v>
      </c>
      <c r="G88" s="5"/>
      <c r="H88" s="10">
        <v>0</v>
      </c>
      <c r="I88" s="10">
        <v>15.2</v>
      </c>
      <c r="J88" s="10">
        <v>20.6</v>
      </c>
      <c r="K88" s="10">
        <v>31.9</v>
      </c>
      <c r="L88" s="10">
        <v>99.7</v>
      </c>
      <c r="M88" s="10">
        <v>0</v>
      </c>
      <c r="O88" s="10">
        <v>1</v>
      </c>
      <c r="P88" s="10">
        <v>16.8</v>
      </c>
      <c r="Q88" s="10">
        <v>24.3</v>
      </c>
      <c r="R88" s="10">
        <v>30.5</v>
      </c>
      <c r="S88" s="10">
        <v>90.7</v>
      </c>
      <c r="T88" s="10">
        <v>0</v>
      </c>
    </row>
    <row r="89" spans="1:20" x14ac:dyDescent="0.25">
      <c r="A89" s="10">
        <v>0</v>
      </c>
      <c r="B89" s="10">
        <v>13.4</v>
      </c>
      <c r="C89" s="10">
        <v>21.5</v>
      </c>
      <c r="D89" s="10">
        <v>30.4</v>
      </c>
      <c r="E89" s="10">
        <v>92.7</v>
      </c>
      <c r="F89" s="10">
        <v>0</v>
      </c>
      <c r="G89" s="5"/>
      <c r="H89" s="10">
        <v>0</v>
      </c>
      <c r="I89" s="10">
        <v>13.5</v>
      </c>
      <c r="J89" s="10">
        <v>19</v>
      </c>
      <c r="K89" s="10">
        <v>28.8</v>
      </c>
      <c r="L89" s="10">
        <v>82.3</v>
      </c>
      <c r="M89" s="10">
        <v>0</v>
      </c>
      <c r="O89" s="10">
        <v>0</v>
      </c>
      <c r="P89" s="10">
        <v>13.4</v>
      </c>
      <c r="Q89" s="10">
        <v>21.5</v>
      </c>
      <c r="R89" s="10">
        <v>30.4</v>
      </c>
      <c r="S89" s="10">
        <v>92.7</v>
      </c>
      <c r="T89" s="10">
        <v>0</v>
      </c>
    </row>
    <row r="90" spans="1:20" x14ac:dyDescent="0.25">
      <c r="A90" s="10">
        <v>1</v>
      </c>
      <c r="B90" s="10">
        <v>13.7</v>
      </c>
      <c r="C90" s="10">
        <v>23.5</v>
      </c>
      <c r="D90" s="10">
        <v>29</v>
      </c>
      <c r="E90" s="10">
        <v>70.599999999999994</v>
      </c>
      <c r="F90" s="10">
        <v>0</v>
      </c>
      <c r="G90" s="5"/>
      <c r="H90" s="10">
        <v>1</v>
      </c>
      <c r="I90" s="10">
        <v>10.9</v>
      </c>
      <c r="J90" s="10">
        <v>30</v>
      </c>
      <c r="K90" s="10">
        <v>29.8</v>
      </c>
      <c r="L90" s="10">
        <v>98.5</v>
      </c>
      <c r="M90" s="10">
        <v>1</v>
      </c>
      <c r="O90" s="10">
        <v>1</v>
      </c>
      <c r="P90" s="10">
        <v>13.7</v>
      </c>
      <c r="Q90" s="10">
        <v>23.5</v>
      </c>
      <c r="R90" s="10">
        <v>29</v>
      </c>
      <c r="S90" s="10">
        <v>70.599999999999994</v>
      </c>
      <c r="T90" s="10">
        <v>0</v>
      </c>
    </row>
    <row r="91" spans="1:20" x14ac:dyDescent="0.25">
      <c r="A91" s="10">
        <v>1</v>
      </c>
      <c r="B91" s="10">
        <v>13.7</v>
      </c>
      <c r="C91" s="10">
        <v>18</v>
      </c>
      <c r="D91" s="10">
        <v>31.1</v>
      </c>
      <c r="E91" s="10">
        <v>89.2</v>
      </c>
      <c r="F91" s="10">
        <v>0</v>
      </c>
      <c r="G91" s="5"/>
      <c r="H91" s="10">
        <v>0</v>
      </c>
      <c r="I91" s="10">
        <v>13.4</v>
      </c>
      <c r="J91" s="10">
        <v>18.7</v>
      </c>
      <c r="K91" s="10">
        <v>31.9</v>
      </c>
      <c r="L91" s="10">
        <v>73.2</v>
      </c>
      <c r="M91" s="10">
        <v>0</v>
      </c>
      <c r="O91" s="10">
        <v>1</v>
      </c>
      <c r="P91" s="10">
        <v>13.7</v>
      </c>
      <c r="Q91" s="10">
        <v>18</v>
      </c>
      <c r="R91" s="10">
        <v>31.1</v>
      </c>
      <c r="S91" s="10">
        <v>89.2</v>
      </c>
      <c r="T91" s="10">
        <v>0</v>
      </c>
    </row>
    <row r="92" spans="1:20" x14ac:dyDescent="0.25">
      <c r="A92" s="10">
        <v>0</v>
      </c>
      <c r="B92" s="10">
        <v>13.1</v>
      </c>
      <c r="C92" s="10">
        <v>20</v>
      </c>
      <c r="D92" s="10">
        <v>29.7</v>
      </c>
      <c r="E92" s="10">
        <v>89.7</v>
      </c>
      <c r="F92" s="10">
        <v>0</v>
      </c>
      <c r="G92" s="5"/>
      <c r="H92" s="10">
        <v>1</v>
      </c>
      <c r="I92" s="10">
        <v>16</v>
      </c>
      <c r="J92" s="10">
        <v>28.8</v>
      </c>
      <c r="K92" s="10">
        <v>28.4</v>
      </c>
      <c r="L92" s="10">
        <v>86.4</v>
      </c>
      <c r="M92" s="10">
        <v>0</v>
      </c>
      <c r="O92" s="10">
        <v>0</v>
      </c>
      <c r="P92" s="10">
        <v>13.1</v>
      </c>
      <c r="Q92" s="10">
        <v>20</v>
      </c>
      <c r="R92" s="10">
        <v>29.7</v>
      </c>
      <c r="S92" s="10">
        <v>89.7</v>
      </c>
      <c r="T92" s="10">
        <v>0</v>
      </c>
    </row>
    <row r="93" spans="1:20" x14ac:dyDescent="0.25">
      <c r="A93" s="10">
        <v>1</v>
      </c>
      <c r="B93" s="10">
        <v>15.3</v>
      </c>
      <c r="C93" s="10">
        <v>18.100000000000001</v>
      </c>
      <c r="D93" s="10">
        <v>31.4</v>
      </c>
      <c r="E93" s="10">
        <v>83.5</v>
      </c>
      <c r="F93" s="10">
        <v>0</v>
      </c>
      <c r="G93" s="5"/>
      <c r="H93" s="10">
        <v>0</v>
      </c>
      <c r="I93" s="10">
        <v>15.2</v>
      </c>
      <c r="J93" s="10">
        <v>27</v>
      </c>
      <c r="K93" s="10">
        <v>32.4</v>
      </c>
      <c r="L93" s="10">
        <v>71.599999999999994</v>
      </c>
      <c r="M93" s="10">
        <v>0</v>
      </c>
      <c r="O93" s="10">
        <v>1</v>
      </c>
      <c r="P93" s="10">
        <v>15.3</v>
      </c>
      <c r="Q93" s="10">
        <v>18.100000000000001</v>
      </c>
      <c r="R93" s="10">
        <v>31.4</v>
      </c>
      <c r="S93" s="10">
        <v>83.5</v>
      </c>
      <c r="T93" s="10">
        <v>0</v>
      </c>
    </row>
    <row r="94" spans="1:20" x14ac:dyDescent="0.25">
      <c r="A94" s="10">
        <v>0</v>
      </c>
      <c r="B94" s="10">
        <v>15.8</v>
      </c>
      <c r="C94" s="10">
        <v>28.6</v>
      </c>
      <c r="D94" s="10">
        <v>31.1</v>
      </c>
      <c r="E94" s="10">
        <v>96.6</v>
      </c>
      <c r="F94" s="10">
        <v>0</v>
      </c>
      <c r="G94" s="5"/>
      <c r="H94" s="10">
        <v>1</v>
      </c>
      <c r="I94" s="10">
        <v>11.4</v>
      </c>
      <c r="J94" s="10">
        <v>21</v>
      </c>
      <c r="K94" s="10">
        <v>31.7</v>
      </c>
      <c r="L94" s="10">
        <v>88.9</v>
      </c>
      <c r="M94" s="10">
        <v>1</v>
      </c>
      <c r="O94" s="10">
        <v>0</v>
      </c>
      <c r="P94" s="10">
        <v>15.8</v>
      </c>
      <c r="Q94" s="10">
        <v>28.6</v>
      </c>
      <c r="R94" s="10">
        <v>31.1</v>
      </c>
      <c r="S94" s="10">
        <v>96.6</v>
      </c>
      <c r="T94" s="10">
        <v>0</v>
      </c>
    </row>
    <row r="95" spans="1:20" x14ac:dyDescent="0.25">
      <c r="A95" s="10">
        <v>1</v>
      </c>
      <c r="B95" s="10">
        <v>15.4</v>
      </c>
      <c r="C95" s="10">
        <v>18.5</v>
      </c>
      <c r="D95" s="10">
        <v>31.5</v>
      </c>
      <c r="E95" s="10">
        <v>72.2</v>
      </c>
      <c r="F95" s="10">
        <v>0</v>
      </c>
      <c r="G95" s="5"/>
      <c r="H95" s="10">
        <v>0</v>
      </c>
      <c r="I95" s="10">
        <v>16.5</v>
      </c>
      <c r="J95" s="10">
        <v>27.6</v>
      </c>
      <c r="K95" s="10">
        <v>29.3</v>
      </c>
      <c r="L95" s="10">
        <v>77.8</v>
      </c>
      <c r="M95" s="10">
        <v>0</v>
      </c>
      <c r="O95" s="10">
        <v>1</v>
      </c>
      <c r="P95" s="10">
        <v>15.4</v>
      </c>
      <c r="Q95" s="10">
        <v>18.5</v>
      </c>
      <c r="R95" s="10">
        <v>31.5</v>
      </c>
      <c r="S95" s="10">
        <v>72.2</v>
      </c>
      <c r="T95" s="10">
        <v>0</v>
      </c>
    </row>
    <row r="96" spans="1:20" x14ac:dyDescent="0.25">
      <c r="A96" s="10">
        <v>0</v>
      </c>
      <c r="B96" s="10">
        <v>14.6</v>
      </c>
      <c r="C96" s="10">
        <v>22.7</v>
      </c>
      <c r="D96" s="10">
        <v>28.1</v>
      </c>
      <c r="E96" s="10">
        <v>93.8</v>
      </c>
      <c r="F96" s="10">
        <v>0</v>
      </c>
      <c r="G96" s="5"/>
      <c r="H96" s="10">
        <v>1</v>
      </c>
      <c r="I96" s="10">
        <v>11.6</v>
      </c>
      <c r="J96" s="10">
        <v>24.3</v>
      </c>
      <c r="K96" s="10">
        <v>29.1</v>
      </c>
      <c r="L96" s="10">
        <v>85.7</v>
      </c>
      <c r="M96" s="10">
        <v>1</v>
      </c>
      <c r="O96" s="10">
        <v>0</v>
      </c>
      <c r="P96" s="10">
        <v>14.6</v>
      </c>
      <c r="Q96" s="10">
        <v>22.7</v>
      </c>
      <c r="R96" s="10">
        <v>28.1</v>
      </c>
      <c r="S96" s="10">
        <v>93.8</v>
      </c>
      <c r="T96" s="10">
        <v>0</v>
      </c>
    </row>
    <row r="97" spans="1:20" x14ac:dyDescent="0.25">
      <c r="A97" s="10">
        <v>1</v>
      </c>
      <c r="B97" s="10">
        <v>16.399999999999999</v>
      </c>
      <c r="C97" s="10">
        <v>24.4</v>
      </c>
      <c r="D97" s="10">
        <v>30.6</v>
      </c>
      <c r="E97" s="10">
        <v>77.400000000000006</v>
      </c>
      <c r="F97" s="10">
        <v>0</v>
      </c>
      <c r="G97" s="5"/>
      <c r="H97" s="10">
        <v>0</v>
      </c>
      <c r="I97" s="10">
        <v>13.7</v>
      </c>
      <c r="J97" s="10">
        <v>19.5</v>
      </c>
      <c r="K97" s="10">
        <v>31.7</v>
      </c>
      <c r="L97" s="10">
        <v>77.099999999999994</v>
      </c>
      <c r="M97" s="10">
        <v>0</v>
      </c>
      <c r="O97" s="10">
        <v>1</v>
      </c>
      <c r="P97" s="10">
        <v>16.399999999999999</v>
      </c>
      <c r="Q97" s="10">
        <v>24.4</v>
      </c>
      <c r="R97" s="10">
        <v>30.6</v>
      </c>
      <c r="S97" s="10">
        <v>77.400000000000006</v>
      </c>
      <c r="T97" s="10">
        <v>0</v>
      </c>
    </row>
    <row r="98" spans="1:20" x14ac:dyDescent="0.25">
      <c r="A98" s="10">
        <v>1</v>
      </c>
      <c r="B98" s="10">
        <v>16.100000000000001</v>
      </c>
      <c r="C98" s="10">
        <v>21.6</v>
      </c>
      <c r="D98" s="10">
        <v>28.8</v>
      </c>
      <c r="E98" s="10">
        <v>96.1</v>
      </c>
      <c r="F98" s="10">
        <v>0</v>
      </c>
      <c r="G98" s="5"/>
      <c r="H98" s="10">
        <v>1</v>
      </c>
      <c r="I98" s="10">
        <v>12.9</v>
      </c>
      <c r="J98" s="10">
        <v>27.4</v>
      </c>
      <c r="K98" s="10">
        <v>28.2</v>
      </c>
      <c r="L98" s="10">
        <v>78.8</v>
      </c>
      <c r="M98" s="10">
        <v>1</v>
      </c>
      <c r="O98" s="10">
        <v>1</v>
      </c>
      <c r="P98" s="10">
        <v>16.100000000000001</v>
      </c>
      <c r="Q98" s="10">
        <v>21.6</v>
      </c>
      <c r="R98" s="10">
        <v>28.8</v>
      </c>
      <c r="S98" s="10">
        <v>96.1</v>
      </c>
      <c r="T98" s="10">
        <v>0</v>
      </c>
    </row>
    <row r="99" spans="1:20" x14ac:dyDescent="0.25">
      <c r="A99" s="10">
        <v>0</v>
      </c>
      <c r="B99" s="10">
        <v>13.1</v>
      </c>
      <c r="C99" s="10">
        <v>21.6</v>
      </c>
      <c r="D99" s="10">
        <v>29.2</v>
      </c>
      <c r="E99" s="10">
        <v>89.6</v>
      </c>
      <c r="F99" s="10">
        <v>0</v>
      </c>
      <c r="G99" s="5"/>
      <c r="H99" s="10">
        <v>1</v>
      </c>
      <c r="I99" s="10">
        <v>11.8</v>
      </c>
      <c r="J99" s="10">
        <v>22</v>
      </c>
      <c r="K99" s="10">
        <v>29.3</v>
      </c>
      <c r="L99" s="10">
        <v>71.099999999999994</v>
      </c>
      <c r="M99" s="10">
        <v>1</v>
      </c>
      <c r="O99" s="10">
        <v>0</v>
      </c>
      <c r="P99" s="10">
        <v>13.1</v>
      </c>
      <c r="Q99" s="10">
        <v>21.6</v>
      </c>
      <c r="R99" s="10">
        <v>29.2</v>
      </c>
      <c r="S99" s="10">
        <v>89.6</v>
      </c>
      <c r="T99" s="10">
        <v>0</v>
      </c>
    </row>
    <row r="100" spans="1:20" x14ac:dyDescent="0.25">
      <c r="A100" s="10">
        <v>0</v>
      </c>
      <c r="B100" s="10">
        <v>13.9</v>
      </c>
      <c r="C100" s="10">
        <v>29.7</v>
      </c>
      <c r="D100" s="10">
        <v>28.4</v>
      </c>
      <c r="E100" s="10">
        <v>70.7</v>
      </c>
      <c r="F100" s="10">
        <v>0</v>
      </c>
      <c r="G100" s="5"/>
      <c r="H100" s="10">
        <v>0</v>
      </c>
      <c r="I100" s="10">
        <v>15.5</v>
      </c>
      <c r="J100" s="10">
        <v>16.899999999999999</v>
      </c>
      <c r="K100" s="10">
        <v>31.2</v>
      </c>
      <c r="L100" s="10">
        <v>95.9</v>
      </c>
      <c r="M100" s="10">
        <v>0</v>
      </c>
      <c r="O100" s="10">
        <v>0</v>
      </c>
      <c r="P100" s="10">
        <v>13.9</v>
      </c>
      <c r="Q100" s="10">
        <v>29.7</v>
      </c>
      <c r="R100" s="10">
        <v>28.4</v>
      </c>
      <c r="S100" s="10">
        <v>70.7</v>
      </c>
      <c r="T100" s="10">
        <v>0</v>
      </c>
    </row>
    <row r="101" spans="1:20" x14ac:dyDescent="0.25">
      <c r="A101" s="10">
        <v>1</v>
      </c>
      <c r="B101" s="10">
        <v>13.9</v>
      </c>
      <c r="C101" s="10">
        <v>25.9</v>
      </c>
      <c r="D101" s="10">
        <v>31.3</v>
      </c>
      <c r="E101" s="10">
        <v>71.2</v>
      </c>
      <c r="F101" s="10">
        <v>0</v>
      </c>
      <c r="G101" s="5"/>
      <c r="H101" s="10">
        <v>1</v>
      </c>
      <c r="I101" s="10">
        <v>16.7</v>
      </c>
      <c r="J101" s="10">
        <v>24.8</v>
      </c>
      <c r="K101" s="10">
        <v>29.6</v>
      </c>
      <c r="L101" s="10">
        <v>93.4</v>
      </c>
      <c r="M101" s="10">
        <v>0</v>
      </c>
      <c r="O101" s="10">
        <v>1</v>
      </c>
      <c r="P101" s="10">
        <v>13.9</v>
      </c>
      <c r="Q101" s="10">
        <v>25.9</v>
      </c>
      <c r="R101" s="10">
        <v>31.3</v>
      </c>
      <c r="S101" s="10">
        <v>71.2</v>
      </c>
      <c r="T101" s="10">
        <v>0</v>
      </c>
    </row>
    <row r="102" spans="1:20" x14ac:dyDescent="0.25">
      <c r="A102" s="10">
        <v>1</v>
      </c>
      <c r="B102" s="10">
        <v>15.7</v>
      </c>
      <c r="C102" s="10">
        <v>17.7</v>
      </c>
      <c r="D102" s="10">
        <v>28.3</v>
      </c>
      <c r="E102" s="10">
        <v>76.8</v>
      </c>
      <c r="F102" s="10">
        <v>0</v>
      </c>
      <c r="G102" s="5"/>
      <c r="H102" s="10">
        <v>1</v>
      </c>
      <c r="I102" s="10">
        <v>14.5</v>
      </c>
      <c r="J102" s="10">
        <v>25.2</v>
      </c>
      <c r="K102" s="10">
        <v>31.5</v>
      </c>
      <c r="L102" s="10">
        <v>91.7</v>
      </c>
      <c r="M102" s="10">
        <v>0</v>
      </c>
      <c r="O102" s="10">
        <v>1</v>
      </c>
      <c r="P102" s="10">
        <v>15.7</v>
      </c>
      <c r="Q102" s="10">
        <v>17.7</v>
      </c>
      <c r="R102" s="10">
        <v>28.3</v>
      </c>
      <c r="S102" s="10">
        <v>76.8</v>
      </c>
      <c r="T102" s="10">
        <v>0</v>
      </c>
    </row>
    <row r="103" spans="1:20" x14ac:dyDescent="0.25">
      <c r="A103" s="10">
        <v>1</v>
      </c>
      <c r="B103" s="10">
        <v>15.6</v>
      </c>
      <c r="C103" s="10">
        <v>19.399999999999999</v>
      </c>
      <c r="D103" s="10">
        <v>29.4</v>
      </c>
      <c r="E103" s="10">
        <v>88.2</v>
      </c>
      <c r="F103" s="10">
        <v>0</v>
      </c>
      <c r="G103" s="5"/>
      <c r="H103" s="10">
        <v>0</v>
      </c>
      <c r="I103" s="10">
        <v>10.4</v>
      </c>
      <c r="J103" s="10">
        <v>20</v>
      </c>
      <c r="K103" s="10">
        <v>32.200000000000003</v>
      </c>
      <c r="L103" s="10">
        <v>101.2</v>
      </c>
      <c r="M103" s="10">
        <v>1</v>
      </c>
      <c r="O103" s="10">
        <v>1</v>
      </c>
      <c r="P103" s="10">
        <v>15.6</v>
      </c>
      <c r="Q103" s="10">
        <v>19.399999999999999</v>
      </c>
      <c r="R103" s="10">
        <v>29.4</v>
      </c>
      <c r="S103" s="10">
        <v>88.2</v>
      </c>
      <c r="T103" s="10">
        <v>0</v>
      </c>
    </row>
    <row r="104" spans="1:20" x14ac:dyDescent="0.25">
      <c r="A104" s="10">
        <v>1</v>
      </c>
      <c r="B104" s="10">
        <v>14.7</v>
      </c>
      <c r="C104" s="10">
        <v>22.3</v>
      </c>
      <c r="D104" s="10">
        <v>28.6</v>
      </c>
      <c r="E104" s="10">
        <v>89.5</v>
      </c>
      <c r="F104" s="10">
        <v>0</v>
      </c>
      <c r="G104" s="5"/>
      <c r="H104" s="10">
        <v>1</v>
      </c>
      <c r="I104" s="10">
        <v>10.4</v>
      </c>
      <c r="J104" s="10">
        <v>17.100000000000001</v>
      </c>
      <c r="K104" s="10">
        <v>31.4</v>
      </c>
      <c r="L104" s="10">
        <v>90.6</v>
      </c>
      <c r="M104" s="10">
        <v>1</v>
      </c>
      <c r="O104" s="10">
        <v>1</v>
      </c>
      <c r="P104" s="10">
        <v>14.7</v>
      </c>
      <c r="Q104" s="10">
        <v>22.3</v>
      </c>
      <c r="R104" s="10">
        <v>28.6</v>
      </c>
      <c r="S104" s="10">
        <v>89.5</v>
      </c>
      <c r="T104" s="10">
        <v>0</v>
      </c>
    </row>
    <row r="105" spans="1:20" x14ac:dyDescent="0.25">
      <c r="A105" s="10">
        <v>1</v>
      </c>
      <c r="B105" s="10">
        <v>14</v>
      </c>
      <c r="C105" s="10">
        <v>23.6</v>
      </c>
      <c r="D105" s="10">
        <v>28.3</v>
      </c>
      <c r="E105" s="10">
        <v>89.8</v>
      </c>
      <c r="F105" s="10">
        <v>0</v>
      </c>
      <c r="G105" s="5"/>
      <c r="H105" s="10">
        <v>1</v>
      </c>
      <c r="I105" s="10">
        <v>12.8</v>
      </c>
      <c r="J105" s="10">
        <v>20.3</v>
      </c>
      <c r="K105" s="10">
        <v>31.1</v>
      </c>
      <c r="L105" s="10">
        <v>100.1</v>
      </c>
      <c r="M105" s="10">
        <v>1</v>
      </c>
      <c r="O105" s="10">
        <v>1</v>
      </c>
      <c r="P105" s="10">
        <v>14</v>
      </c>
      <c r="Q105" s="10">
        <v>23.6</v>
      </c>
      <c r="R105" s="10">
        <v>28.3</v>
      </c>
      <c r="S105" s="10">
        <v>89.8</v>
      </c>
      <c r="T105" s="10">
        <v>0</v>
      </c>
    </row>
    <row r="106" spans="1:20" x14ac:dyDescent="0.25">
      <c r="A106" s="10">
        <v>0</v>
      </c>
      <c r="B106" s="10">
        <v>13.8</v>
      </c>
      <c r="C106" s="10">
        <v>17.899999999999999</v>
      </c>
      <c r="D106" s="10">
        <v>29.1</v>
      </c>
      <c r="E106" s="10">
        <v>80.900000000000006</v>
      </c>
      <c r="F106" s="10">
        <v>0</v>
      </c>
      <c r="G106" s="5"/>
      <c r="H106" s="10">
        <v>1</v>
      </c>
      <c r="I106" s="10">
        <v>14.4</v>
      </c>
      <c r="J106" s="10">
        <v>18.399999999999999</v>
      </c>
      <c r="K106" s="10">
        <v>32.1</v>
      </c>
      <c r="L106" s="10">
        <v>95.6</v>
      </c>
      <c r="M106" s="10">
        <v>0</v>
      </c>
      <c r="O106" s="10">
        <v>0</v>
      </c>
      <c r="P106" s="10">
        <v>13.8</v>
      </c>
      <c r="Q106" s="10">
        <v>17.899999999999999</v>
      </c>
      <c r="R106" s="10">
        <v>29.1</v>
      </c>
      <c r="S106" s="10">
        <v>80.900000000000006</v>
      </c>
      <c r="T106" s="10">
        <v>0</v>
      </c>
    </row>
    <row r="107" spans="1:20" x14ac:dyDescent="0.25">
      <c r="A107" s="10">
        <v>1</v>
      </c>
      <c r="B107" s="10">
        <v>16.7</v>
      </c>
      <c r="C107" s="10">
        <v>16.5</v>
      </c>
      <c r="D107" s="10">
        <v>30.5</v>
      </c>
      <c r="E107" s="10">
        <v>94.5</v>
      </c>
      <c r="F107" s="10">
        <v>0</v>
      </c>
      <c r="G107" s="5"/>
      <c r="H107" s="10">
        <v>1</v>
      </c>
      <c r="I107" s="10">
        <v>11.7</v>
      </c>
      <c r="J107" s="10">
        <v>18.399999999999999</v>
      </c>
      <c r="K107" s="10">
        <v>32.1</v>
      </c>
      <c r="L107" s="10">
        <v>74.8</v>
      </c>
      <c r="M107" s="10">
        <v>1</v>
      </c>
      <c r="O107" s="10">
        <v>1</v>
      </c>
      <c r="P107" s="10">
        <v>16.7</v>
      </c>
      <c r="Q107" s="10">
        <v>16.5</v>
      </c>
      <c r="R107" s="10">
        <v>30.5</v>
      </c>
      <c r="S107" s="10">
        <v>94.5</v>
      </c>
      <c r="T107" s="10">
        <v>0</v>
      </c>
    </row>
    <row r="108" spans="1:20" x14ac:dyDescent="0.25">
      <c r="A108" s="10">
        <v>0</v>
      </c>
      <c r="B108" s="10">
        <v>13.9</v>
      </c>
      <c r="C108" s="10">
        <v>29.3</v>
      </c>
      <c r="D108" s="10">
        <v>32.200000000000003</v>
      </c>
      <c r="E108" s="10">
        <v>78.7</v>
      </c>
      <c r="F108" s="10">
        <v>0</v>
      </c>
      <c r="G108" s="5"/>
      <c r="H108" s="10">
        <v>0</v>
      </c>
      <c r="I108" s="10">
        <v>14.8</v>
      </c>
      <c r="J108" s="10">
        <v>20.399999999999999</v>
      </c>
      <c r="K108" s="10">
        <v>28.5</v>
      </c>
      <c r="L108" s="10">
        <v>91.1</v>
      </c>
      <c r="M108" s="10">
        <v>0</v>
      </c>
      <c r="O108" s="10">
        <v>0</v>
      </c>
      <c r="P108" s="10">
        <v>13.9</v>
      </c>
      <c r="Q108" s="10">
        <v>29.3</v>
      </c>
      <c r="R108" s="10">
        <v>32.200000000000003</v>
      </c>
      <c r="S108" s="10">
        <v>78.7</v>
      </c>
      <c r="T108" s="10">
        <v>0</v>
      </c>
    </row>
    <row r="109" spans="1:20" x14ac:dyDescent="0.25">
      <c r="A109" s="10">
        <v>0</v>
      </c>
      <c r="B109" s="10">
        <v>15.5</v>
      </c>
      <c r="C109" s="10">
        <v>25.5</v>
      </c>
      <c r="D109" s="10">
        <v>27.8</v>
      </c>
      <c r="E109" s="10">
        <v>70.900000000000006</v>
      </c>
      <c r="F109" s="10">
        <v>0</v>
      </c>
      <c r="G109" s="5"/>
      <c r="H109" s="10">
        <v>1</v>
      </c>
      <c r="I109" s="10">
        <v>11.9</v>
      </c>
      <c r="J109" s="10">
        <v>22.8</v>
      </c>
      <c r="K109" s="10">
        <v>32.1</v>
      </c>
      <c r="L109" s="10">
        <v>101.2</v>
      </c>
      <c r="M109" s="10">
        <v>1</v>
      </c>
      <c r="O109" s="10">
        <v>0</v>
      </c>
      <c r="P109" s="10">
        <v>15.5</v>
      </c>
      <c r="Q109" s="10">
        <v>25.5</v>
      </c>
      <c r="R109" s="10">
        <v>27.8</v>
      </c>
      <c r="S109" s="10">
        <v>70.900000000000006</v>
      </c>
      <c r="T109" s="10">
        <v>0</v>
      </c>
    </row>
    <row r="110" spans="1:20" x14ac:dyDescent="0.25">
      <c r="A110" s="10">
        <v>1</v>
      </c>
      <c r="B110" s="10">
        <v>15.2</v>
      </c>
      <c r="C110" s="10">
        <v>18</v>
      </c>
      <c r="D110" s="10">
        <v>31.2</v>
      </c>
      <c r="E110" s="10">
        <v>80.3</v>
      </c>
      <c r="F110" s="10">
        <v>0</v>
      </c>
      <c r="G110" s="5"/>
      <c r="H110" s="10">
        <v>1</v>
      </c>
      <c r="I110" s="10">
        <v>11.5</v>
      </c>
      <c r="J110" s="10">
        <v>24.1</v>
      </c>
      <c r="K110" s="10">
        <v>30.8</v>
      </c>
      <c r="L110" s="10">
        <v>74.7</v>
      </c>
      <c r="M110" s="10">
        <v>1</v>
      </c>
      <c r="O110" s="10">
        <v>1</v>
      </c>
      <c r="P110" s="10">
        <v>15.2</v>
      </c>
      <c r="Q110" s="10">
        <v>18</v>
      </c>
      <c r="R110" s="10">
        <v>31.2</v>
      </c>
      <c r="S110" s="10">
        <v>80.3</v>
      </c>
      <c r="T110" s="10">
        <v>0</v>
      </c>
    </row>
    <row r="111" spans="1:20" x14ac:dyDescent="0.25">
      <c r="A111" s="10">
        <v>0</v>
      </c>
      <c r="B111" s="10">
        <v>15.9</v>
      </c>
      <c r="C111" s="10">
        <v>24.7</v>
      </c>
      <c r="D111" s="10">
        <v>29.8</v>
      </c>
      <c r="E111" s="10">
        <v>96.7</v>
      </c>
      <c r="F111" s="10">
        <v>0</v>
      </c>
      <c r="G111" s="5"/>
      <c r="H111" s="10">
        <v>0</v>
      </c>
      <c r="I111" s="10">
        <v>13.3</v>
      </c>
      <c r="J111" s="10">
        <v>16.399999999999999</v>
      </c>
      <c r="K111" s="10">
        <v>29.1</v>
      </c>
      <c r="L111" s="10">
        <v>70</v>
      </c>
      <c r="M111" s="10">
        <v>0</v>
      </c>
      <c r="O111" s="10">
        <v>0</v>
      </c>
      <c r="P111" s="10">
        <v>15.9</v>
      </c>
      <c r="Q111" s="10">
        <v>24.7</v>
      </c>
      <c r="R111" s="10">
        <v>29.8</v>
      </c>
      <c r="S111" s="10">
        <v>96.7</v>
      </c>
      <c r="T111" s="10">
        <v>0</v>
      </c>
    </row>
    <row r="112" spans="1:20" x14ac:dyDescent="0.25">
      <c r="A112" s="10">
        <v>0</v>
      </c>
      <c r="B112" s="10">
        <v>12.8</v>
      </c>
      <c r="C112" s="10">
        <v>24</v>
      </c>
      <c r="D112" s="10">
        <v>28.5</v>
      </c>
      <c r="E112" s="10">
        <v>75.3</v>
      </c>
      <c r="F112" s="10">
        <v>0</v>
      </c>
      <c r="G112" s="5"/>
      <c r="H112" s="10">
        <v>1</v>
      </c>
      <c r="I112" s="10">
        <v>13.1</v>
      </c>
      <c r="J112" s="10">
        <v>25.6</v>
      </c>
      <c r="K112" s="10">
        <v>28.4</v>
      </c>
      <c r="L112" s="10">
        <v>77.5</v>
      </c>
      <c r="M112" s="10">
        <v>1</v>
      </c>
      <c r="O112" s="10">
        <v>0</v>
      </c>
      <c r="P112" s="10">
        <v>12.8</v>
      </c>
      <c r="Q112" s="10">
        <v>24</v>
      </c>
      <c r="R112" s="10">
        <v>28.5</v>
      </c>
      <c r="S112" s="10">
        <v>75.3</v>
      </c>
      <c r="T112" s="10">
        <v>0</v>
      </c>
    </row>
    <row r="113" spans="1:20" x14ac:dyDescent="0.25">
      <c r="A113" s="10">
        <v>1</v>
      </c>
      <c r="B113" s="10">
        <v>16.2</v>
      </c>
      <c r="C113" s="10">
        <v>19.5</v>
      </c>
      <c r="D113" s="10">
        <v>31</v>
      </c>
      <c r="E113" s="10">
        <v>76.599999999999994</v>
      </c>
      <c r="F113" s="10">
        <v>0</v>
      </c>
      <c r="G113" s="5"/>
      <c r="H113" s="10">
        <v>0</v>
      </c>
      <c r="I113" s="10">
        <v>15.5</v>
      </c>
      <c r="J113" s="10">
        <v>21.9</v>
      </c>
      <c r="K113" s="10">
        <v>31.4</v>
      </c>
      <c r="L113" s="10">
        <v>100.5</v>
      </c>
      <c r="M113" s="10">
        <v>0</v>
      </c>
      <c r="O113" s="10">
        <v>1</v>
      </c>
      <c r="P113" s="10">
        <v>16.2</v>
      </c>
      <c r="Q113" s="10">
        <v>19.5</v>
      </c>
      <c r="R113" s="10">
        <v>31</v>
      </c>
      <c r="S113" s="10">
        <v>76.599999999999994</v>
      </c>
      <c r="T113" s="10">
        <v>0</v>
      </c>
    </row>
    <row r="114" spans="1:20" x14ac:dyDescent="0.25">
      <c r="A114" s="10">
        <v>1</v>
      </c>
      <c r="B114" s="10">
        <v>14.8</v>
      </c>
      <c r="C114" s="10">
        <v>23</v>
      </c>
      <c r="D114" s="10">
        <v>30.5</v>
      </c>
      <c r="E114" s="10">
        <v>69.8</v>
      </c>
      <c r="F114" s="10">
        <v>0</v>
      </c>
      <c r="G114" s="5"/>
      <c r="H114" s="10">
        <v>0</v>
      </c>
      <c r="I114" s="10">
        <v>15.9</v>
      </c>
      <c r="J114" s="10">
        <v>28.7</v>
      </c>
      <c r="K114" s="10">
        <v>31</v>
      </c>
      <c r="L114" s="10">
        <v>81.599999999999994</v>
      </c>
      <c r="M114" s="10">
        <v>0</v>
      </c>
      <c r="O114" s="10">
        <v>1</v>
      </c>
      <c r="P114" s="10">
        <v>14.8</v>
      </c>
      <c r="Q114" s="10">
        <v>23</v>
      </c>
      <c r="R114" s="10">
        <v>30.5</v>
      </c>
      <c r="S114" s="10">
        <v>69.8</v>
      </c>
      <c r="T114" s="10">
        <v>0</v>
      </c>
    </row>
    <row r="115" spans="1:20" x14ac:dyDescent="0.25">
      <c r="A115" s="10">
        <v>0</v>
      </c>
      <c r="B115" s="10">
        <v>13.1</v>
      </c>
      <c r="C115" s="10">
        <v>20.2</v>
      </c>
      <c r="D115" s="10">
        <v>32.4</v>
      </c>
      <c r="E115" s="10">
        <v>95.4</v>
      </c>
      <c r="F115" s="10">
        <v>0</v>
      </c>
      <c r="G115" s="5"/>
      <c r="H115" s="10">
        <v>1</v>
      </c>
      <c r="I115" s="10">
        <v>15.3</v>
      </c>
      <c r="J115" s="10">
        <v>25.3</v>
      </c>
      <c r="K115" s="10">
        <v>32.200000000000003</v>
      </c>
      <c r="L115" s="10">
        <v>96.6</v>
      </c>
      <c r="M115" s="10">
        <v>0</v>
      </c>
      <c r="O115" s="10">
        <v>0</v>
      </c>
      <c r="P115" s="10">
        <v>13.1</v>
      </c>
      <c r="Q115" s="10">
        <v>20.2</v>
      </c>
      <c r="R115" s="10">
        <v>32.4</v>
      </c>
      <c r="S115" s="10">
        <v>95.4</v>
      </c>
      <c r="T115" s="10">
        <v>0</v>
      </c>
    </row>
    <row r="116" spans="1:20" x14ac:dyDescent="0.25">
      <c r="A116" s="10">
        <v>1</v>
      </c>
      <c r="B116" s="10">
        <v>16.7</v>
      </c>
      <c r="C116" s="10">
        <v>25.1</v>
      </c>
      <c r="D116" s="10">
        <v>30.1</v>
      </c>
      <c r="E116" s="10">
        <v>70.8</v>
      </c>
      <c r="F116" s="10">
        <v>0</v>
      </c>
      <c r="G116" s="5"/>
      <c r="H116" s="10">
        <v>1</v>
      </c>
      <c r="I116" s="10">
        <v>16.3</v>
      </c>
      <c r="J116" s="10">
        <v>20.9</v>
      </c>
      <c r="K116" s="10">
        <v>31.2</v>
      </c>
      <c r="L116" s="10">
        <v>72.5</v>
      </c>
      <c r="M116" s="10">
        <v>0</v>
      </c>
      <c r="O116" s="10">
        <v>1</v>
      </c>
      <c r="P116" s="10">
        <v>16.7</v>
      </c>
      <c r="Q116" s="10">
        <v>25.1</v>
      </c>
      <c r="R116" s="10">
        <v>30.1</v>
      </c>
      <c r="S116" s="10">
        <v>70.8</v>
      </c>
      <c r="T116" s="10">
        <v>0</v>
      </c>
    </row>
    <row r="117" spans="1:20" x14ac:dyDescent="0.25">
      <c r="A117" s="10">
        <v>0</v>
      </c>
      <c r="B117" s="10">
        <v>13.2</v>
      </c>
      <c r="C117" s="10">
        <v>27.8</v>
      </c>
      <c r="D117" s="10">
        <v>30.6</v>
      </c>
      <c r="E117" s="10">
        <v>81.400000000000006</v>
      </c>
      <c r="F117" s="10">
        <v>0</v>
      </c>
      <c r="G117" s="5"/>
      <c r="H117" s="10">
        <v>1</v>
      </c>
      <c r="I117" s="10">
        <v>16.899999999999999</v>
      </c>
      <c r="J117" s="10">
        <v>24.2</v>
      </c>
      <c r="K117" s="10">
        <v>32.1</v>
      </c>
      <c r="L117" s="10">
        <v>92.5</v>
      </c>
      <c r="M117" s="10">
        <v>0</v>
      </c>
      <c r="O117" s="10">
        <v>0</v>
      </c>
      <c r="P117" s="10">
        <v>13.2</v>
      </c>
      <c r="Q117" s="10">
        <v>27.8</v>
      </c>
      <c r="R117" s="10">
        <v>30.6</v>
      </c>
      <c r="S117" s="10">
        <v>81.400000000000006</v>
      </c>
      <c r="T117" s="10">
        <v>0</v>
      </c>
    </row>
    <row r="118" spans="1:20" x14ac:dyDescent="0.25">
      <c r="A118" s="10">
        <v>0</v>
      </c>
      <c r="B118" s="10">
        <v>14.9</v>
      </c>
      <c r="C118" s="10">
        <v>29.8</v>
      </c>
      <c r="D118" s="10">
        <v>32</v>
      </c>
      <c r="E118" s="10">
        <v>92.1</v>
      </c>
      <c r="F118" s="10">
        <v>0</v>
      </c>
      <c r="G118" s="5"/>
      <c r="H118" s="10">
        <v>0</v>
      </c>
      <c r="I118" s="10">
        <v>12.8</v>
      </c>
      <c r="J118" s="10">
        <v>22.9</v>
      </c>
      <c r="K118" s="10">
        <v>28.8</v>
      </c>
      <c r="L118" s="10">
        <v>72</v>
      </c>
      <c r="M118" s="10">
        <v>0</v>
      </c>
      <c r="O118" s="10">
        <v>0</v>
      </c>
      <c r="P118" s="10">
        <v>14.9</v>
      </c>
      <c r="Q118" s="10">
        <v>29.8</v>
      </c>
      <c r="R118" s="10">
        <v>32</v>
      </c>
      <c r="S118" s="10">
        <v>92.1</v>
      </c>
      <c r="T118" s="10">
        <v>0</v>
      </c>
    </row>
    <row r="119" spans="1:20" x14ac:dyDescent="0.25">
      <c r="A119" s="10">
        <v>1</v>
      </c>
      <c r="B119" s="10">
        <v>15</v>
      </c>
      <c r="C119" s="10">
        <v>21.7</v>
      </c>
      <c r="D119" s="10">
        <v>30.6</v>
      </c>
      <c r="E119" s="10">
        <v>90</v>
      </c>
      <c r="F119" s="10">
        <v>0</v>
      </c>
      <c r="G119" s="5"/>
      <c r="H119" s="10">
        <v>0</v>
      </c>
      <c r="I119" s="10">
        <v>16.100000000000001</v>
      </c>
      <c r="J119" s="10">
        <v>20.8</v>
      </c>
      <c r="K119" s="10">
        <v>31.2</v>
      </c>
      <c r="L119" s="10">
        <v>79.099999999999994</v>
      </c>
      <c r="M119" s="10">
        <v>0</v>
      </c>
      <c r="O119" s="10">
        <v>1</v>
      </c>
      <c r="P119" s="10">
        <v>15</v>
      </c>
      <c r="Q119" s="10">
        <v>21.7</v>
      </c>
      <c r="R119" s="10">
        <v>30.6</v>
      </c>
      <c r="S119" s="10">
        <v>90</v>
      </c>
      <c r="T119" s="10">
        <v>0</v>
      </c>
    </row>
    <row r="120" spans="1:20" x14ac:dyDescent="0.25">
      <c r="A120" s="10">
        <v>0</v>
      </c>
      <c r="B120" s="10">
        <v>14.8</v>
      </c>
      <c r="C120" s="10">
        <v>18.8</v>
      </c>
      <c r="D120" s="10">
        <v>31.9</v>
      </c>
      <c r="E120" s="10">
        <v>77.5</v>
      </c>
      <c r="F120" s="10">
        <v>0</v>
      </c>
      <c r="G120" s="5"/>
      <c r="H120" s="10">
        <v>1</v>
      </c>
      <c r="I120" s="10">
        <v>16.5</v>
      </c>
      <c r="J120" s="10">
        <v>21.9</v>
      </c>
      <c r="K120" s="10">
        <v>30.7</v>
      </c>
      <c r="L120" s="10">
        <v>71.099999999999994</v>
      </c>
      <c r="M120" s="10">
        <v>0</v>
      </c>
      <c r="O120" s="10">
        <v>0</v>
      </c>
      <c r="P120" s="10">
        <v>14.8</v>
      </c>
      <c r="Q120" s="10">
        <v>18.8</v>
      </c>
      <c r="R120" s="10">
        <v>31.9</v>
      </c>
      <c r="S120" s="10">
        <v>77.5</v>
      </c>
      <c r="T120" s="10">
        <v>0</v>
      </c>
    </row>
    <row r="121" spans="1:20" x14ac:dyDescent="0.25">
      <c r="A121" s="10">
        <v>0</v>
      </c>
      <c r="B121" s="10">
        <v>12.7</v>
      </c>
      <c r="C121" s="10">
        <v>23.3</v>
      </c>
      <c r="D121" s="10">
        <v>30.3</v>
      </c>
      <c r="E121" s="10">
        <v>92.8</v>
      </c>
      <c r="F121" s="10">
        <v>0</v>
      </c>
      <c r="G121" s="5"/>
      <c r="H121" s="10">
        <v>0</v>
      </c>
      <c r="I121" s="10">
        <v>13.4</v>
      </c>
      <c r="J121" s="10">
        <v>27.9</v>
      </c>
      <c r="K121" s="10">
        <v>29</v>
      </c>
      <c r="L121" s="10">
        <v>84.4</v>
      </c>
      <c r="M121" s="10">
        <v>0</v>
      </c>
      <c r="O121" s="10">
        <v>0</v>
      </c>
      <c r="P121" s="10">
        <v>12.7</v>
      </c>
      <c r="Q121" s="10">
        <v>23.3</v>
      </c>
      <c r="R121" s="10">
        <v>30.3</v>
      </c>
      <c r="S121" s="10">
        <v>92.8</v>
      </c>
      <c r="T121" s="10">
        <v>0</v>
      </c>
    </row>
    <row r="122" spans="1:20" x14ac:dyDescent="0.25">
      <c r="A122" s="10">
        <v>0</v>
      </c>
      <c r="B122" s="10">
        <v>14.6</v>
      </c>
      <c r="C122" s="10">
        <v>26.3</v>
      </c>
      <c r="D122" s="10">
        <v>32</v>
      </c>
      <c r="E122" s="10">
        <v>90.7</v>
      </c>
      <c r="F122" s="10">
        <v>0</v>
      </c>
      <c r="G122" s="5"/>
      <c r="H122" s="10">
        <v>1</v>
      </c>
      <c r="I122" s="10">
        <v>16.8</v>
      </c>
      <c r="J122" s="10">
        <v>19.899999999999999</v>
      </c>
      <c r="K122" s="10">
        <v>32.4</v>
      </c>
      <c r="L122" s="10">
        <v>90.9</v>
      </c>
      <c r="M122" s="10">
        <v>0</v>
      </c>
      <c r="O122" s="10">
        <v>0</v>
      </c>
      <c r="P122" s="10">
        <v>14.6</v>
      </c>
      <c r="Q122" s="10">
        <v>26.3</v>
      </c>
      <c r="R122" s="10">
        <v>32</v>
      </c>
      <c r="S122" s="10">
        <v>90.7</v>
      </c>
      <c r="T122" s="10">
        <v>0</v>
      </c>
    </row>
    <row r="123" spans="1:20" x14ac:dyDescent="0.25">
      <c r="A123" s="10">
        <v>1</v>
      </c>
      <c r="B123" s="10">
        <v>16.399999999999999</v>
      </c>
      <c r="C123" s="10">
        <v>27.9</v>
      </c>
      <c r="D123" s="10">
        <v>29.2</v>
      </c>
      <c r="E123" s="10">
        <v>87.9</v>
      </c>
      <c r="F123" s="10">
        <v>0</v>
      </c>
      <c r="G123" s="5"/>
      <c r="H123" s="10">
        <v>0</v>
      </c>
      <c r="I123" s="10">
        <v>12.2</v>
      </c>
      <c r="J123" s="10">
        <v>23.3</v>
      </c>
      <c r="K123" s="10">
        <v>30.4</v>
      </c>
      <c r="L123" s="10">
        <v>100.2</v>
      </c>
      <c r="M123" s="10">
        <v>0</v>
      </c>
      <c r="O123" s="10">
        <v>1</v>
      </c>
      <c r="P123" s="10">
        <v>16.399999999999999</v>
      </c>
      <c r="Q123" s="10">
        <v>27.9</v>
      </c>
      <c r="R123" s="10">
        <v>29.2</v>
      </c>
      <c r="S123" s="10">
        <v>87.9</v>
      </c>
      <c r="T123" s="10">
        <v>0</v>
      </c>
    </row>
    <row r="124" spans="1:20" x14ac:dyDescent="0.25">
      <c r="A124" s="10">
        <v>0</v>
      </c>
      <c r="B124" s="10">
        <v>16.8</v>
      </c>
      <c r="C124" s="10">
        <v>24.3</v>
      </c>
      <c r="D124" s="10">
        <v>31.5</v>
      </c>
      <c r="E124" s="10">
        <v>92</v>
      </c>
      <c r="F124" s="10">
        <v>0</v>
      </c>
      <c r="G124" s="5"/>
      <c r="H124" s="10">
        <v>1</v>
      </c>
      <c r="I124" s="10">
        <v>15.4</v>
      </c>
      <c r="J124" s="10">
        <v>23</v>
      </c>
      <c r="K124" s="10">
        <v>30.3</v>
      </c>
      <c r="L124" s="10">
        <v>87.7</v>
      </c>
      <c r="M124" s="10">
        <v>0</v>
      </c>
      <c r="O124" s="10">
        <v>0</v>
      </c>
      <c r="P124" s="10">
        <v>16.8</v>
      </c>
      <c r="Q124" s="10">
        <v>24.3</v>
      </c>
      <c r="R124" s="10">
        <v>31.5</v>
      </c>
      <c r="S124" s="10">
        <v>92</v>
      </c>
      <c r="T124" s="10">
        <v>0</v>
      </c>
    </row>
    <row r="125" spans="1:20" x14ac:dyDescent="0.25">
      <c r="A125" s="10">
        <v>0</v>
      </c>
      <c r="B125" s="10">
        <v>13.7</v>
      </c>
      <c r="C125" s="10">
        <v>26.9</v>
      </c>
      <c r="D125" s="10">
        <v>28.1</v>
      </c>
      <c r="E125" s="10">
        <v>82.5</v>
      </c>
      <c r="F125" s="10">
        <v>0</v>
      </c>
      <c r="G125" s="5"/>
      <c r="H125" s="10">
        <v>0</v>
      </c>
      <c r="I125" s="10">
        <v>10.7</v>
      </c>
      <c r="J125" s="10">
        <v>27.9</v>
      </c>
      <c r="K125" s="10">
        <v>31.3</v>
      </c>
      <c r="L125" s="10">
        <v>86.4</v>
      </c>
      <c r="M125" s="10">
        <v>1</v>
      </c>
      <c r="O125" s="10">
        <v>0</v>
      </c>
      <c r="P125" s="10">
        <v>13.7</v>
      </c>
      <c r="Q125" s="10">
        <v>26.9</v>
      </c>
      <c r="R125" s="10">
        <v>28.1</v>
      </c>
      <c r="S125" s="10">
        <v>82.5</v>
      </c>
      <c r="T125" s="10">
        <v>0</v>
      </c>
    </row>
    <row r="126" spans="1:20" x14ac:dyDescent="0.25">
      <c r="A126" s="10">
        <v>0</v>
      </c>
      <c r="B126" s="10">
        <v>14.8</v>
      </c>
      <c r="C126" s="10">
        <v>26</v>
      </c>
      <c r="D126" s="10">
        <v>29.8</v>
      </c>
      <c r="E126" s="10">
        <v>73</v>
      </c>
      <c r="F126" s="10">
        <v>0</v>
      </c>
      <c r="G126" s="5"/>
      <c r="H126" s="10">
        <v>0</v>
      </c>
      <c r="I126" s="10">
        <v>12.6</v>
      </c>
      <c r="J126" s="10">
        <v>18.3</v>
      </c>
      <c r="K126" s="10">
        <v>31.7</v>
      </c>
      <c r="L126" s="10">
        <v>82.8</v>
      </c>
      <c r="M126" s="10">
        <v>0</v>
      </c>
      <c r="O126" s="10">
        <v>0</v>
      </c>
      <c r="P126" s="10">
        <v>14.8</v>
      </c>
      <c r="Q126" s="10">
        <v>26</v>
      </c>
      <c r="R126" s="10">
        <v>29.8</v>
      </c>
      <c r="S126" s="10">
        <v>73</v>
      </c>
      <c r="T126" s="10">
        <v>0</v>
      </c>
    </row>
    <row r="127" spans="1:20" x14ac:dyDescent="0.25">
      <c r="A127" s="10">
        <v>1</v>
      </c>
      <c r="B127" s="10">
        <v>13.5</v>
      </c>
      <c r="C127" s="10">
        <v>27.7</v>
      </c>
      <c r="D127" s="10">
        <v>31</v>
      </c>
      <c r="E127" s="10">
        <v>77.3</v>
      </c>
      <c r="F127" s="10">
        <v>0</v>
      </c>
      <c r="G127" s="5"/>
      <c r="H127" s="10">
        <v>1</v>
      </c>
      <c r="I127" s="10">
        <v>14.3</v>
      </c>
      <c r="J127" s="10">
        <v>17.5</v>
      </c>
      <c r="K127" s="10">
        <v>30.6</v>
      </c>
      <c r="L127" s="10">
        <v>75</v>
      </c>
      <c r="M127" s="10">
        <v>0</v>
      </c>
      <c r="O127" s="10">
        <v>1</v>
      </c>
      <c r="P127" s="10">
        <v>13.5</v>
      </c>
      <c r="Q127" s="10">
        <v>27.7</v>
      </c>
      <c r="R127" s="10">
        <v>31</v>
      </c>
      <c r="S127" s="10">
        <v>77.3</v>
      </c>
      <c r="T127" s="10">
        <v>0</v>
      </c>
    </row>
    <row r="128" spans="1:20" x14ac:dyDescent="0.25">
      <c r="A128" s="10">
        <v>1</v>
      </c>
      <c r="B128" s="10">
        <v>14.8</v>
      </c>
      <c r="C128" s="10">
        <v>16.3</v>
      </c>
      <c r="D128" s="10">
        <v>27.8</v>
      </c>
      <c r="E128" s="10">
        <v>76.400000000000006</v>
      </c>
      <c r="F128" s="10">
        <v>0</v>
      </c>
      <c r="G128" s="5"/>
      <c r="H128" s="10">
        <v>1</v>
      </c>
      <c r="I128" s="10">
        <v>11.7</v>
      </c>
      <c r="J128" s="10">
        <v>24.5</v>
      </c>
      <c r="K128" s="10">
        <v>31.1</v>
      </c>
      <c r="L128" s="10">
        <v>86.1</v>
      </c>
      <c r="M128" s="10">
        <v>1</v>
      </c>
      <c r="O128" s="10">
        <v>1</v>
      </c>
      <c r="P128" s="10">
        <v>14.8</v>
      </c>
      <c r="Q128" s="10">
        <v>16.3</v>
      </c>
      <c r="R128" s="10">
        <v>27.8</v>
      </c>
      <c r="S128" s="10">
        <v>76.400000000000006</v>
      </c>
      <c r="T128" s="10">
        <v>0</v>
      </c>
    </row>
    <row r="129" spans="1:20" x14ac:dyDescent="0.25">
      <c r="A129" s="10">
        <v>1</v>
      </c>
      <c r="B129" s="10">
        <v>15.7</v>
      </c>
      <c r="C129" s="10">
        <v>27.6</v>
      </c>
      <c r="D129" s="10">
        <v>30.3</v>
      </c>
      <c r="E129" s="10">
        <v>81.599999999999994</v>
      </c>
      <c r="F129" s="10">
        <v>0</v>
      </c>
      <c r="G129" s="5"/>
      <c r="H129" s="10">
        <v>1</v>
      </c>
      <c r="I129" s="10">
        <v>13.3</v>
      </c>
      <c r="J129" s="10">
        <v>25.1</v>
      </c>
      <c r="K129" s="10">
        <v>30.6</v>
      </c>
      <c r="L129" s="10">
        <v>73.7</v>
      </c>
      <c r="M129" s="10">
        <v>1</v>
      </c>
      <c r="O129" s="10">
        <v>1</v>
      </c>
      <c r="P129" s="10">
        <v>15.7</v>
      </c>
      <c r="Q129" s="10">
        <v>27.6</v>
      </c>
      <c r="R129" s="10">
        <v>30.3</v>
      </c>
      <c r="S129" s="10">
        <v>81.599999999999994</v>
      </c>
      <c r="T129" s="10">
        <v>0</v>
      </c>
    </row>
    <row r="130" spans="1:20" x14ac:dyDescent="0.25">
      <c r="A130" s="10">
        <v>1</v>
      </c>
      <c r="B130" s="10">
        <v>15.7</v>
      </c>
      <c r="C130" s="10">
        <v>27.2</v>
      </c>
      <c r="D130" s="10">
        <v>31.3</v>
      </c>
      <c r="E130" s="10">
        <v>69.400000000000006</v>
      </c>
      <c r="F130" s="10">
        <v>0</v>
      </c>
      <c r="G130" s="5"/>
      <c r="H130" s="10">
        <v>0</v>
      </c>
      <c r="I130" s="10">
        <v>16.3</v>
      </c>
      <c r="J130" s="10">
        <v>19.7</v>
      </c>
      <c r="K130" s="10">
        <v>31.6</v>
      </c>
      <c r="L130" s="10">
        <v>75.400000000000006</v>
      </c>
      <c r="M130" s="10">
        <v>0</v>
      </c>
      <c r="O130" s="10">
        <v>1</v>
      </c>
      <c r="P130" s="10">
        <v>15.7</v>
      </c>
      <c r="Q130" s="10">
        <v>27.2</v>
      </c>
      <c r="R130" s="10">
        <v>31.3</v>
      </c>
      <c r="S130" s="10">
        <v>69.400000000000006</v>
      </c>
      <c r="T130" s="10">
        <v>0</v>
      </c>
    </row>
    <row r="131" spans="1:20" x14ac:dyDescent="0.25">
      <c r="A131" s="10">
        <v>0</v>
      </c>
      <c r="B131" s="10">
        <v>13.1</v>
      </c>
      <c r="C131" s="10">
        <v>17.600000000000001</v>
      </c>
      <c r="D131" s="10">
        <v>28.8</v>
      </c>
      <c r="E131" s="10">
        <v>85.2</v>
      </c>
      <c r="F131" s="10">
        <v>0</v>
      </c>
      <c r="G131" s="5"/>
      <c r="H131" s="10">
        <v>0</v>
      </c>
      <c r="I131" s="10">
        <v>12.2</v>
      </c>
      <c r="J131" s="10">
        <v>17.600000000000001</v>
      </c>
      <c r="K131" s="10">
        <v>30.7</v>
      </c>
      <c r="L131" s="10">
        <v>88.8</v>
      </c>
      <c r="M131" s="10">
        <v>0</v>
      </c>
      <c r="O131" s="10">
        <v>0</v>
      </c>
      <c r="P131" s="10">
        <v>13.1</v>
      </c>
      <c r="Q131" s="10">
        <v>17.600000000000001</v>
      </c>
      <c r="R131" s="10">
        <v>28.8</v>
      </c>
      <c r="S131" s="10">
        <v>85.2</v>
      </c>
      <c r="T131" s="10">
        <v>0</v>
      </c>
    </row>
    <row r="132" spans="1:20" x14ac:dyDescent="0.25">
      <c r="A132" s="10">
        <v>1</v>
      </c>
      <c r="B132" s="10">
        <v>14.6</v>
      </c>
      <c r="C132" s="10">
        <v>27.5</v>
      </c>
      <c r="D132" s="10">
        <v>31.4</v>
      </c>
      <c r="E132" s="10">
        <v>83.6</v>
      </c>
      <c r="F132" s="10">
        <v>0</v>
      </c>
      <c r="G132" s="5"/>
      <c r="H132" s="10">
        <v>0</v>
      </c>
      <c r="I132" s="10">
        <v>12.6</v>
      </c>
      <c r="J132" s="10">
        <v>21.5</v>
      </c>
      <c r="K132" s="10">
        <v>31.6</v>
      </c>
      <c r="L132" s="10">
        <v>99.7</v>
      </c>
      <c r="M132" s="10">
        <v>0</v>
      </c>
      <c r="O132" s="10">
        <v>1</v>
      </c>
      <c r="P132" s="10">
        <v>14.6</v>
      </c>
      <c r="Q132" s="10">
        <v>27.5</v>
      </c>
      <c r="R132" s="10">
        <v>31.4</v>
      </c>
      <c r="S132" s="10">
        <v>83.6</v>
      </c>
      <c r="T132" s="10">
        <v>0</v>
      </c>
    </row>
    <row r="133" spans="1:20" x14ac:dyDescent="0.25">
      <c r="A133" s="10">
        <v>0</v>
      </c>
      <c r="B133" s="10">
        <v>14.6</v>
      </c>
      <c r="C133" s="10">
        <v>17.100000000000001</v>
      </c>
      <c r="D133" s="10">
        <v>31.8</v>
      </c>
      <c r="E133" s="10">
        <v>84.6</v>
      </c>
      <c r="F133" s="10">
        <v>0</v>
      </c>
      <c r="G133" s="5"/>
      <c r="H133" s="10">
        <v>1</v>
      </c>
      <c r="I133" s="10">
        <v>13.9</v>
      </c>
      <c r="J133" s="10">
        <v>20.6</v>
      </c>
      <c r="K133" s="10">
        <v>29.2</v>
      </c>
      <c r="L133" s="10">
        <v>98.5</v>
      </c>
      <c r="M133" s="10">
        <v>0</v>
      </c>
      <c r="O133" s="10">
        <v>0</v>
      </c>
      <c r="P133" s="10">
        <v>14.6</v>
      </c>
      <c r="Q133" s="10">
        <v>17.100000000000001</v>
      </c>
      <c r="R133" s="10">
        <v>31.8</v>
      </c>
      <c r="S133" s="10">
        <v>84.6</v>
      </c>
      <c r="T133" s="10">
        <v>0</v>
      </c>
    </row>
    <row r="134" spans="1:20" x14ac:dyDescent="0.25">
      <c r="A134" s="10">
        <v>0</v>
      </c>
      <c r="B134" s="10">
        <v>16.3</v>
      </c>
      <c r="C134" s="10">
        <v>16.399999999999999</v>
      </c>
      <c r="D134" s="10">
        <v>27.8</v>
      </c>
      <c r="E134" s="10">
        <v>88.7</v>
      </c>
      <c r="F134" s="10">
        <v>0</v>
      </c>
      <c r="G134" s="5"/>
      <c r="H134" s="10">
        <v>0</v>
      </c>
      <c r="I134" s="10">
        <v>11.2</v>
      </c>
      <c r="J134" s="10">
        <v>16.600000000000001</v>
      </c>
      <c r="K134" s="10">
        <v>30.2</v>
      </c>
      <c r="L134" s="10">
        <v>79.8</v>
      </c>
      <c r="M134" s="10">
        <v>1</v>
      </c>
      <c r="O134" s="10">
        <v>0</v>
      </c>
      <c r="P134" s="10">
        <v>16.3</v>
      </c>
      <c r="Q134" s="10">
        <v>16.399999999999999</v>
      </c>
      <c r="R134" s="10">
        <v>27.8</v>
      </c>
      <c r="S134" s="10">
        <v>88.7</v>
      </c>
      <c r="T134" s="10">
        <v>0</v>
      </c>
    </row>
    <row r="135" spans="1:20" x14ac:dyDescent="0.25">
      <c r="A135" s="10">
        <v>1</v>
      </c>
      <c r="B135" s="10">
        <v>14.7</v>
      </c>
      <c r="C135" s="10">
        <v>26.6</v>
      </c>
      <c r="D135" s="10">
        <v>28.3</v>
      </c>
      <c r="E135" s="10">
        <v>88.6</v>
      </c>
      <c r="F135" s="10">
        <v>0</v>
      </c>
      <c r="G135" s="5"/>
      <c r="H135" s="10">
        <v>1</v>
      </c>
      <c r="I135" s="10">
        <v>16.5</v>
      </c>
      <c r="J135" s="10">
        <v>18.5</v>
      </c>
      <c r="K135" s="10">
        <v>28.4</v>
      </c>
      <c r="L135" s="10">
        <v>91.6</v>
      </c>
      <c r="M135" s="10">
        <v>0</v>
      </c>
      <c r="O135" s="10">
        <v>1</v>
      </c>
      <c r="P135" s="10">
        <v>14.7</v>
      </c>
      <c r="Q135" s="10">
        <v>26.6</v>
      </c>
      <c r="R135" s="10">
        <v>28.3</v>
      </c>
      <c r="S135" s="10">
        <v>88.6</v>
      </c>
      <c r="T135" s="10">
        <v>0</v>
      </c>
    </row>
    <row r="136" spans="1:20" x14ac:dyDescent="0.25">
      <c r="A136" s="10">
        <v>0</v>
      </c>
      <c r="B136" s="10">
        <v>16</v>
      </c>
      <c r="C136" s="10">
        <v>24.9</v>
      </c>
      <c r="D136" s="10">
        <v>28.3</v>
      </c>
      <c r="E136" s="10">
        <v>100</v>
      </c>
      <c r="F136" s="10">
        <v>0</v>
      </c>
      <c r="G136" s="5"/>
      <c r="H136" s="10">
        <v>1</v>
      </c>
      <c r="I136" s="10">
        <v>11</v>
      </c>
      <c r="J136" s="10">
        <v>25</v>
      </c>
      <c r="K136" s="10">
        <v>30.4</v>
      </c>
      <c r="L136" s="10">
        <v>81.400000000000006</v>
      </c>
      <c r="M136" s="10">
        <v>1</v>
      </c>
      <c r="O136" s="10">
        <v>0</v>
      </c>
      <c r="P136" s="10">
        <v>16</v>
      </c>
      <c r="Q136" s="10">
        <v>24.9</v>
      </c>
      <c r="R136" s="10">
        <v>28.3</v>
      </c>
      <c r="S136" s="10">
        <v>100</v>
      </c>
      <c r="T136" s="10">
        <v>0</v>
      </c>
    </row>
    <row r="137" spans="1:20" x14ac:dyDescent="0.25">
      <c r="A137" s="10">
        <v>1</v>
      </c>
      <c r="B137" s="10">
        <v>16.600000000000001</v>
      </c>
      <c r="C137" s="10">
        <v>22.7</v>
      </c>
      <c r="D137" s="10">
        <v>28.2</v>
      </c>
      <c r="E137" s="10">
        <v>87</v>
      </c>
      <c r="F137" s="10">
        <v>0</v>
      </c>
      <c r="G137" s="5"/>
      <c r="H137" s="10">
        <v>1</v>
      </c>
      <c r="I137" s="10">
        <v>13</v>
      </c>
      <c r="J137" s="10">
        <v>28.6</v>
      </c>
      <c r="K137" s="10">
        <v>32.200000000000003</v>
      </c>
      <c r="L137" s="10">
        <v>69.8</v>
      </c>
      <c r="M137" s="10">
        <v>1</v>
      </c>
      <c r="O137" s="10">
        <v>1</v>
      </c>
      <c r="P137" s="10">
        <v>16.600000000000001</v>
      </c>
      <c r="Q137" s="10">
        <v>22.7</v>
      </c>
      <c r="R137" s="10">
        <v>28.2</v>
      </c>
      <c r="S137" s="10">
        <v>87</v>
      </c>
      <c r="T137" s="10">
        <v>0</v>
      </c>
    </row>
    <row r="138" spans="1:20" x14ac:dyDescent="0.25">
      <c r="A138" s="10">
        <v>1</v>
      </c>
      <c r="B138" s="10">
        <v>15.4</v>
      </c>
      <c r="C138" s="10">
        <v>23.4</v>
      </c>
      <c r="D138" s="10">
        <v>32.4</v>
      </c>
      <c r="E138" s="10">
        <v>92.9</v>
      </c>
      <c r="F138" s="10">
        <v>0</v>
      </c>
      <c r="G138" s="5"/>
      <c r="H138" s="10">
        <v>0</v>
      </c>
      <c r="I138" s="10">
        <v>16.899999999999999</v>
      </c>
      <c r="J138" s="10">
        <v>16.7</v>
      </c>
      <c r="K138" s="10">
        <v>30</v>
      </c>
      <c r="L138" s="10">
        <v>78.400000000000006</v>
      </c>
      <c r="M138" s="10">
        <v>0</v>
      </c>
      <c r="O138" s="10">
        <v>1</v>
      </c>
      <c r="P138" s="10">
        <v>15.4</v>
      </c>
      <c r="Q138" s="10">
        <v>23.4</v>
      </c>
      <c r="R138" s="10">
        <v>32.4</v>
      </c>
      <c r="S138" s="10">
        <v>92.9</v>
      </c>
      <c r="T138" s="10">
        <v>0</v>
      </c>
    </row>
    <row r="139" spans="1:20" x14ac:dyDescent="0.25">
      <c r="A139" s="10">
        <v>0</v>
      </c>
      <c r="B139" s="10">
        <v>15.5</v>
      </c>
      <c r="C139" s="10">
        <v>17.399999999999999</v>
      </c>
      <c r="D139" s="10">
        <v>28.5</v>
      </c>
      <c r="E139" s="10">
        <v>78.900000000000006</v>
      </c>
      <c r="F139" s="10">
        <v>0</v>
      </c>
      <c r="G139" s="5"/>
      <c r="H139" s="10">
        <v>1</v>
      </c>
      <c r="I139" s="10">
        <v>13.7</v>
      </c>
      <c r="J139" s="10">
        <v>24.1</v>
      </c>
      <c r="K139" s="10">
        <v>27.8</v>
      </c>
      <c r="L139" s="10">
        <v>86.3</v>
      </c>
      <c r="M139" s="10">
        <v>0</v>
      </c>
      <c r="O139" s="10">
        <v>0</v>
      </c>
      <c r="P139" s="10">
        <v>15.5</v>
      </c>
      <c r="Q139" s="10">
        <v>17.399999999999999</v>
      </c>
      <c r="R139" s="10">
        <v>28.5</v>
      </c>
      <c r="S139" s="10">
        <v>78.900000000000006</v>
      </c>
      <c r="T139" s="10">
        <v>0</v>
      </c>
    </row>
    <row r="140" spans="1:20" x14ac:dyDescent="0.25">
      <c r="A140" s="10">
        <v>1</v>
      </c>
      <c r="B140" s="10">
        <v>16.7</v>
      </c>
      <c r="C140" s="10">
        <v>23.5</v>
      </c>
      <c r="D140" s="10">
        <v>28.1</v>
      </c>
      <c r="E140" s="10">
        <v>76.900000000000006</v>
      </c>
      <c r="F140" s="10">
        <v>0</v>
      </c>
      <c r="G140" s="5"/>
      <c r="H140" s="10">
        <v>1</v>
      </c>
      <c r="I140" s="10">
        <v>16.8</v>
      </c>
      <c r="J140" s="10">
        <v>24.3</v>
      </c>
      <c r="K140" s="10">
        <v>30.5</v>
      </c>
      <c r="L140" s="10">
        <v>90.7</v>
      </c>
      <c r="M140" s="10">
        <v>0</v>
      </c>
      <c r="O140" s="10">
        <v>1</v>
      </c>
      <c r="P140" s="10">
        <v>16.7</v>
      </c>
      <c r="Q140" s="10">
        <v>23.5</v>
      </c>
      <c r="R140" s="10">
        <v>28.1</v>
      </c>
      <c r="S140" s="10">
        <v>76.900000000000006</v>
      </c>
      <c r="T140" s="10">
        <v>0</v>
      </c>
    </row>
    <row r="141" spans="1:20" x14ac:dyDescent="0.25">
      <c r="A141" s="10">
        <v>0</v>
      </c>
      <c r="B141" s="10">
        <v>15.3</v>
      </c>
      <c r="C141" s="10">
        <v>29.3</v>
      </c>
      <c r="D141" s="10">
        <v>28.9</v>
      </c>
      <c r="E141" s="10">
        <v>88.3</v>
      </c>
      <c r="F141" s="10">
        <v>0</v>
      </c>
      <c r="G141" s="5"/>
      <c r="H141" s="10">
        <v>0</v>
      </c>
      <c r="I141" s="10">
        <v>13.4</v>
      </c>
      <c r="J141" s="10">
        <v>21.5</v>
      </c>
      <c r="K141" s="10">
        <v>30.4</v>
      </c>
      <c r="L141" s="10">
        <v>92.7</v>
      </c>
      <c r="M141" s="10">
        <v>0</v>
      </c>
      <c r="O141" s="10">
        <v>0</v>
      </c>
      <c r="P141" s="10">
        <v>15.3</v>
      </c>
      <c r="Q141" s="10">
        <v>29.3</v>
      </c>
      <c r="R141" s="10">
        <v>28.9</v>
      </c>
      <c r="S141" s="10">
        <v>88.3</v>
      </c>
      <c r="T141" s="10">
        <v>0</v>
      </c>
    </row>
    <row r="142" spans="1:20" x14ac:dyDescent="0.25">
      <c r="A142" s="10">
        <v>1</v>
      </c>
      <c r="B142" s="10">
        <v>16.3</v>
      </c>
      <c r="C142" s="10">
        <v>26.7</v>
      </c>
      <c r="D142" s="10">
        <v>29.9</v>
      </c>
      <c r="E142" s="10">
        <v>84.1</v>
      </c>
      <c r="F142" s="10">
        <v>0</v>
      </c>
      <c r="G142" s="5"/>
      <c r="H142" s="10">
        <v>1</v>
      </c>
      <c r="I142" s="10">
        <v>13.7</v>
      </c>
      <c r="J142" s="10">
        <v>23.5</v>
      </c>
      <c r="K142" s="10">
        <v>29</v>
      </c>
      <c r="L142" s="10">
        <v>70.599999999999994</v>
      </c>
      <c r="M142" s="10">
        <v>0</v>
      </c>
      <c r="O142" s="10">
        <v>1</v>
      </c>
      <c r="P142" s="10">
        <v>16.3</v>
      </c>
      <c r="Q142" s="10">
        <v>26.7</v>
      </c>
      <c r="R142" s="10">
        <v>29.9</v>
      </c>
      <c r="S142" s="10">
        <v>84.1</v>
      </c>
      <c r="T142" s="10">
        <v>0</v>
      </c>
    </row>
    <row r="143" spans="1:20" x14ac:dyDescent="0.25">
      <c r="A143" s="10">
        <v>0</v>
      </c>
      <c r="B143" s="10">
        <v>14.6</v>
      </c>
      <c r="C143" s="10">
        <v>28.9</v>
      </c>
      <c r="D143" s="10">
        <v>28.5</v>
      </c>
      <c r="E143" s="10">
        <v>74.2</v>
      </c>
      <c r="F143" s="10">
        <v>0</v>
      </c>
      <c r="G143" s="5"/>
      <c r="H143" s="10">
        <v>0</v>
      </c>
      <c r="I143" s="10">
        <v>11.6</v>
      </c>
      <c r="J143" s="10">
        <v>17.5</v>
      </c>
      <c r="K143" s="10">
        <v>31.6</v>
      </c>
      <c r="L143" s="10">
        <v>70.5</v>
      </c>
      <c r="M143" s="10">
        <v>1</v>
      </c>
      <c r="O143" s="10">
        <v>0</v>
      </c>
      <c r="P143" s="10">
        <v>14.6</v>
      </c>
      <c r="Q143" s="10">
        <v>28.9</v>
      </c>
      <c r="R143" s="10">
        <v>28.5</v>
      </c>
      <c r="S143" s="10">
        <v>74.2</v>
      </c>
      <c r="T143" s="10">
        <v>0</v>
      </c>
    </row>
    <row r="144" spans="1:20" x14ac:dyDescent="0.25">
      <c r="A144" s="10">
        <v>0</v>
      </c>
      <c r="B144" s="10">
        <v>13.4</v>
      </c>
      <c r="C144" s="10">
        <v>22</v>
      </c>
      <c r="D144" s="10">
        <v>30.8</v>
      </c>
      <c r="E144" s="10">
        <v>79.7</v>
      </c>
      <c r="F144" s="10">
        <v>0</v>
      </c>
      <c r="G144" s="5"/>
      <c r="H144" s="10">
        <v>1</v>
      </c>
      <c r="I144" s="10">
        <v>13.7</v>
      </c>
      <c r="J144" s="10">
        <v>18</v>
      </c>
      <c r="K144" s="10">
        <v>31.1</v>
      </c>
      <c r="L144" s="10">
        <v>89.2</v>
      </c>
      <c r="M144" s="10">
        <v>0</v>
      </c>
      <c r="O144" s="10">
        <v>0</v>
      </c>
      <c r="P144" s="10">
        <v>13.4</v>
      </c>
      <c r="Q144" s="10">
        <v>22</v>
      </c>
      <c r="R144" s="10">
        <v>30.8</v>
      </c>
      <c r="S144" s="10">
        <v>79.7</v>
      </c>
      <c r="T144" s="10">
        <v>0</v>
      </c>
    </row>
    <row r="145" spans="1:20" x14ac:dyDescent="0.25">
      <c r="A145" s="10">
        <v>1</v>
      </c>
      <c r="B145" s="10">
        <v>14.8</v>
      </c>
      <c r="C145" s="10">
        <v>28.8</v>
      </c>
      <c r="D145" s="10">
        <v>29.6</v>
      </c>
      <c r="E145" s="10">
        <v>84.9</v>
      </c>
      <c r="F145" s="10">
        <v>0</v>
      </c>
      <c r="G145" s="5"/>
      <c r="H145" s="10">
        <v>0</v>
      </c>
      <c r="I145" s="10">
        <v>13.1</v>
      </c>
      <c r="J145" s="10">
        <v>20</v>
      </c>
      <c r="K145" s="10">
        <v>29.7</v>
      </c>
      <c r="L145" s="10">
        <v>89.7</v>
      </c>
      <c r="M145" s="10">
        <v>0</v>
      </c>
      <c r="O145" s="10">
        <v>1</v>
      </c>
      <c r="P145" s="10">
        <v>14.8</v>
      </c>
      <c r="Q145" s="10">
        <v>28.8</v>
      </c>
      <c r="R145" s="10">
        <v>29.6</v>
      </c>
      <c r="S145" s="10">
        <v>84.9</v>
      </c>
      <c r="T145" s="10">
        <v>0</v>
      </c>
    </row>
    <row r="146" spans="1:20" x14ac:dyDescent="0.25">
      <c r="A146" s="10">
        <v>1</v>
      </c>
      <c r="B146" s="10">
        <v>16</v>
      </c>
      <c r="C146" s="10">
        <v>28.1</v>
      </c>
      <c r="D146" s="10">
        <v>31.6</v>
      </c>
      <c r="E146" s="10">
        <v>94.6</v>
      </c>
      <c r="F146" s="10">
        <v>0</v>
      </c>
      <c r="G146" s="5"/>
      <c r="H146" s="10">
        <v>1</v>
      </c>
      <c r="I146" s="10">
        <v>11.1</v>
      </c>
      <c r="J146" s="10">
        <v>22.1</v>
      </c>
      <c r="K146" s="10">
        <v>29.4</v>
      </c>
      <c r="L146" s="10">
        <v>97</v>
      </c>
      <c r="M146" s="10">
        <v>1</v>
      </c>
      <c r="O146" s="10">
        <v>1</v>
      </c>
      <c r="P146" s="10">
        <v>16</v>
      </c>
      <c r="Q146" s="10">
        <v>28.1</v>
      </c>
      <c r="R146" s="10">
        <v>31.6</v>
      </c>
      <c r="S146" s="10">
        <v>94.6</v>
      </c>
      <c r="T146" s="10">
        <v>0</v>
      </c>
    </row>
    <row r="147" spans="1:20" x14ac:dyDescent="0.25">
      <c r="A147" s="10">
        <v>1</v>
      </c>
      <c r="B147" s="10">
        <v>16.600000000000001</v>
      </c>
      <c r="C147" s="10">
        <v>29.1</v>
      </c>
      <c r="D147" s="10">
        <v>29.9</v>
      </c>
      <c r="E147" s="10">
        <v>76.400000000000006</v>
      </c>
      <c r="F147" s="10">
        <v>0</v>
      </c>
      <c r="G147" s="5"/>
      <c r="H147" s="10">
        <v>1</v>
      </c>
      <c r="I147" s="10">
        <v>15.3</v>
      </c>
      <c r="J147" s="10">
        <v>18.100000000000001</v>
      </c>
      <c r="K147" s="10">
        <v>31.4</v>
      </c>
      <c r="L147" s="10">
        <v>83.5</v>
      </c>
      <c r="M147" s="10">
        <v>0</v>
      </c>
      <c r="O147" s="10">
        <v>1</v>
      </c>
      <c r="P147" s="10">
        <v>16.600000000000001</v>
      </c>
      <c r="Q147" s="10">
        <v>29.1</v>
      </c>
      <c r="R147" s="10">
        <v>29.9</v>
      </c>
      <c r="S147" s="10">
        <v>76.400000000000006</v>
      </c>
      <c r="T147" s="10">
        <v>0</v>
      </c>
    </row>
    <row r="148" spans="1:20" x14ac:dyDescent="0.25">
      <c r="A148" s="10">
        <v>0</v>
      </c>
      <c r="B148" s="10">
        <v>15.6</v>
      </c>
      <c r="C148" s="10">
        <v>28.8</v>
      </c>
      <c r="D148" s="10">
        <v>30.8</v>
      </c>
      <c r="E148" s="10">
        <v>86.4</v>
      </c>
      <c r="F148" s="10">
        <v>0</v>
      </c>
      <c r="G148" s="5"/>
      <c r="H148" s="10">
        <v>0</v>
      </c>
      <c r="I148" s="10">
        <v>15.8</v>
      </c>
      <c r="J148" s="10">
        <v>28.6</v>
      </c>
      <c r="K148" s="10">
        <v>31.1</v>
      </c>
      <c r="L148" s="10">
        <v>96.6</v>
      </c>
      <c r="M148" s="10">
        <v>0</v>
      </c>
      <c r="O148" s="10">
        <v>0</v>
      </c>
      <c r="P148" s="10">
        <v>15.6</v>
      </c>
      <c r="Q148" s="10">
        <v>28.8</v>
      </c>
      <c r="R148" s="10">
        <v>30.8</v>
      </c>
      <c r="S148" s="10">
        <v>86.4</v>
      </c>
      <c r="T148" s="10">
        <v>0</v>
      </c>
    </row>
    <row r="149" spans="1:20" x14ac:dyDescent="0.25">
      <c r="A149" s="10">
        <v>1</v>
      </c>
      <c r="B149" s="10">
        <v>16.7</v>
      </c>
      <c r="C149" s="10">
        <v>20.100000000000001</v>
      </c>
      <c r="D149" s="10">
        <v>31.4</v>
      </c>
      <c r="E149" s="10">
        <v>73</v>
      </c>
      <c r="F149" s="10">
        <v>0</v>
      </c>
      <c r="G149" s="5"/>
      <c r="H149" s="10">
        <v>1</v>
      </c>
      <c r="I149" s="10">
        <v>15.4</v>
      </c>
      <c r="J149" s="10">
        <v>18.5</v>
      </c>
      <c r="K149" s="10">
        <v>31.5</v>
      </c>
      <c r="L149" s="10">
        <v>72.2</v>
      </c>
      <c r="M149" s="10">
        <v>0</v>
      </c>
      <c r="O149" s="10">
        <v>1</v>
      </c>
      <c r="P149" s="10">
        <v>16.7</v>
      </c>
      <c r="Q149" s="10">
        <v>20.100000000000001</v>
      </c>
      <c r="R149" s="10">
        <v>31.4</v>
      </c>
      <c r="S149" s="10">
        <v>73</v>
      </c>
      <c r="T149" s="10">
        <v>0</v>
      </c>
    </row>
    <row r="150" spans="1:20" x14ac:dyDescent="0.25">
      <c r="A150" s="10">
        <v>0</v>
      </c>
      <c r="B150" s="10">
        <v>15.4</v>
      </c>
      <c r="C150" s="10">
        <v>21.5</v>
      </c>
      <c r="D150" s="10">
        <v>29.6</v>
      </c>
      <c r="E150" s="10">
        <v>71.2</v>
      </c>
      <c r="F150" s="10">
        <v>0</v>
      </c>
      <c r="G150" s="5"/>
      <c r="H150" s="10">
        <v>0</v>
      </c>
      <c r="I150" s="10">
        <v>14.6</v>
      </c>
      <c r="J150" s="10">
        <v>22.7</v>
      </c>
      <c r="K150" s="10">
        <v>28.1</v>
      </c>
      <c r="L150" s="10">
        <v>93.8</v>
      </c>
      <c r="M150" s="10">
        <v>0</v>
      </c>
      <c r="O150" s="10">
        <v>0</v>
      </c>
      <c r="P150" s="10">
        <v>15.4</v>
      </c>
      <c r="Q150" s="10">
        <v>21.5</v>
      </c>
      <c r="R150" s="10">
        <v>29.6</v>
      </c>
      <c r="S150" s="10">
        <v>71.2</v>
      </c>
      <c r="T150" s="10">
        <v>0</v>
      </c>
    </row>
    <row r="151" spans="1:20" x14ac:dyDescent="0.25">
      <c r="A151" s="10">
        <v>1</v>
      </c>
      <c r="B151" s="10">
        <v>15.9</v>
      </c>
      <c r="C151" s="10">
        <v>18.3</v>
      </c>
      <c r="D151" s="10">
        <v>29.6</v>
      </c>
      <c r="E151" s="10">
        <v>87.8</v>
      </c>
      <c r="F151" s="10">
        <v>0</v>
      </c>
      <c r="G151" s="5"/>
      <c r="H151" s="10">
        <v>1</v>
      </c>
      <c r="I151" s="10">
        <v>16.399999999999999</v>
      </c>
      <c r="J151" s="10">
        <v>24.4</v>
      </c>
      <c r="K151" s="10">
        <v>30.6</v>
      </c>
      <c r="L151" s="10">
        <v>77.400000000000006</v>
      </c>
      <c r="M151" s="10">
        <v>0</v>
      </c>
      <c r="O151" s="10">
        <v>1</v>
      </c>
      <c r="P151" s="10">
        <v>15.9</v>
      </c>
      <c r="Q151" s="10">
        <v>18.3</v>
      </c>
      <c r="R151" s="10">
        <v>29.6</v>
      </c>
      <c r="S151" s="10">
        <v>87.8</v>
      </c>
      <c r="T151" s="10">
        <v>0</v>
      </c>
    </row>
    <row r="152" spans="1:20" x14ac:dyDescent="0.25">
      <c r="A152" s="10">
        <v>0</v>
      </c>
      <c r="B152" s="10">
        <v>15.2</v>
      </c>
      <c r="C152" s="10">
        <v>28.1</v>
      </c>
      <c r="D152" s="10">
        <v>32.5</v>
      </c>
      <c r="E152" s="10">
        <v>94.6</v>
      </c>
      <c r="F152" s="10">
        <v>0</v>
      </c>
      <c r="G152" s="5"/>
      <c r="H152" s="10">
        <v>1</v>
      </c>
      <c r="I152" s="10">
        <v>12.4</v>
      </c>
      <c r="J152" s="10">
        <v>19</v>
      </c>
      <c r="K152" s="10">
        <v>31.9</v>
      </c>
      <c r="L152" s="10">
        <v>73.7</v>
      </c>
      <c r="M152" s="10">
        <v>1</v>
      </c>
      <c r="O152" s="10">
        <v>0</v>
      </c>
      <c r="P152" s="10">
        <v>15.2</v>
      </c>
      <c r="Q152" s="10">
        <v>28.1</v>
      </c>
      <c r="R152" s="10">
        <v>32.5</v>
      </c>
      <c r="S152" s="10">
        <v>94.6</v>
      </c>
      <c r="T152" s="10">
        <v>0</v>
      </c>
    </row>
    <row r="153" spans="1:20" x14ac:dyDescent="0.25">
      <c r="A153" s="10">
        <v>1</v>
      </c>
      <c r="B153" s="10">
        <v>15.2</v>
      </c>
      <c r="C153" s="10">
        <v>19.8</v>
      </c>
      <c r="D153" s="10">
        <v>28.5</v>
      </c>
      <c r="E153" s="10">
        <v>83.7</v>
      </c>
      <c r="F153" s="10">
        <v>0</v>
      </c>
      <c r="G153" s="5"/>
      <c r="H153" s="10">
        <v>1</v>
      </c>
      <c r="I153" s="10">
        <v>12.7</v>
      </c>
      <c r="J153" s="10">
        <v>29</v>
      </c>
      <c r="K153" s="10">
        <v>31.6</v>
      </c>
      <c r="L153" s="10">
        <v>78.599999999999994</v>
      </c>
      <c r="M153" s="10">
        <v>1</v>
      </c>
      <c r="O153" s="10">
        <v>1</v>
      </c>
      <c r="P153" s="10">
        <v>15.2</v>
      </c>
      <c r="Q153" s="10">
        <v>19.8</v>
      </c>
      <c r="R153" s="10">
        <v>28.5</v>
      </c>
      <c r="S153" s="10">
        <v>83.7</v>
      </c>
      <c r="T153" s="10">
        <v>0</v>
      </c>
    </row>
    <row r="154" spans="1:20" x14ac:dyDescent="0.25">
      <c r="A154" s="10">
        <v>0</v>
      </c>
      <c r="B154" s="10">
        <v>15.3</v>
      </c>
      <c r="C154" s="10">
        <v>18.3</v>
      </c>
      <c r="D154" s="10">
        <v>30.4</v>
      </c>
      <c r="E154" s="10">
        <v>93.4</v>
      </c>
      <c r="F154" s="10">
        <v>0</v>
      </c>
      <c r="G154" s="5"/>
      <c r="H154" s="10">
        <v>1</v>
      </c>
      <c r="I154" s="10">
        <v>10.9</v>
      </c>
      <c r="J154" s="10">
        <v>29.4</v>
      </c>
      <c r="K154" s="10">
        <v>31.1</v>
      </c>
      <c r="L154" s="10">
        <v>91.7</v>
      </c>
      <c r="M154" s="10">
        <v>1</v>
      </c>
      <c r="O154" s="10">
        <v>0</v>
      </c>
      <c r="P154" s="10">
        <v>15.3</v>
      </c>
      <c r="Q154" s="10">
        <v>18.3</v>
      </c>
      <c r="R154" s="10">
        <v>30.4</v>
      </c>
      <c r="S154" s="10">
        <v>93.4</v>
      </c>
      <c r="T154" s="10">
        <v>0</v>
      </c>
    </row>
    <row r="155" spans="1:20" x14ac:dyDescent="0.25">
      <c r="A155" s="10">
        <v>1</v>
      </c>
      <c r="B155" s="10">
        <v>15.2</v>
      </c>
      <c r="C155" s="10">
        <v>29</v>
      </c>
      <c r="D155" s="10">
        <v>28.2</v>
      </c>
      <c r="E155" s="10">
        <v>90.2</v>
      </c>
      <c r="F155" s="10">
        <v>0</v>
      </c>
      <c r="G155" s="5"/>
      <c r="H155" s="10">
        <v>1</v>
      </c>
      <c r="I155" s="10">
        <v>11.5</v>
      </c>
      <c r="J155" s="10">
        <v>21.4</v>
      </c>
      <c r="K155" s="10">
        <v>28.7</v>
      </c>
      <c r="L155" s="10">
        <v>98.6</v>
      </c>
      <c r="M155" s="10">
        <v>1</v>
      </c>
      <c r="O155" s="10">
        <v>1</v>
      </c>
      <c r="P155" s="10">
        <v>15.2</v>
      </c>
      <c r="Q155" s="10">
        <v>29</v>
      </c>
      <c r="R155" s="10">
        <v>28.2</v>
      </c>
      <c r="S155" s="10">
        <v>90.2</v>
      </c>
      <c r="T155" s="10">
        <v>0</v>
      </c>
    </row>
    <row r="156" spans="1:20" x14ac:dyDescent="0.25">
      <c r="A156" s="10">
        <v>0</v>
      </c>
      <c r="B156" s="10">
        <v>14.6</v>
      </c>
      <c r="C156" s="10">
        <v>16.899999999999999</v>
      </c>
      <c r="D156" s="10">
        <v>31.9</v>
      </c>
      <c r="E156" s="10">
        <v>78.099999999999994</v>
      </c>
      <c r="F156" s="10">
        <v>0</v>
      </c>
      <c r="G156" s="5"/>
      <c r="H156" s="10">
        <v>1</v>
      </c>
      <c r="I156" s="10">
        <v>12.8</v>
      </c>
      <c r="J156" s="10">
        <v>17.8</v>
      </c>
      <c r="K156" s="10">
        <v>29.1</v>
      </c>
      <c r="L156" s="10">
        <v>79.400000000000006</v>
      </c>
      <c r="M156" s="10">
        <v>1</v>
      </c>
      <c r="O156" s="10">
        <v>0</v>
      </c>
      <c r="P156" s="10">
        <v>14.6</v>
      </c>
      <c r="Q156" s="10">
        <v>16.899999999999999</v>
      </c>
      <c r="R156" s="10">
        <v>31.9</v>
      </c>
      <c r="S156" s="10">
        <v>78.099999999999994</v>
      </c>
      <c r="T156" s="10">
        <v>0</v>
      </c>
    </row>
    <row r="157" spans="1:20" x14ac:dyDescent="0.25">
      <c r="A157" s="10">
        <v>1</v>
      </c>
      <c r="B157" s="10">
        <v>13.6</v>
      </c>
      <c r="C157" s="10">
        <v>22.2</v>
      </c>
      <c r="D157" s="10">
        <v>29.6</v>
      </c>
      <c r="E157" s="10">
        <v>96.3</v>
      </c>
      <c r="F157" s="10">
        <v>0</v>
      </c>
      <c r="G157" s="5"/>
      <c r="H157" s="10">
        <v>1</v>
      </c>
      <c r="I157" s="10">
        <v>16.100000000000001</v>
      </c>
      <c r="J157" s="10">
        <v>21.6</v>
      </c>
      <c r="K157" s="10">
        <v>28.8</v>
      </c>
      <c r="L157" s="10">
        <v>96.1</v>
      </c>
      <c r="M157" s="10">
        <v>0</v>
      </c>
      <c r="O157" s="10">
        <v>1</v>
      </c>
      <c r="P157" s="10">
        <v>13.6</v>
      </c>
      <c r="Q157" s="10">
        <v>22.2</v>
      </c>
      <c r="R157" s="10">
        <v>29.6</v>
      </c>
      <c r="S157" s="10">
        <v>96.3</v>
      </c>
      <c r="T157" s="10">
        <v>0</v>
      </c>
    </row>
    <row r="158" spans="1:20" x14ac:dyDescent="0.25">
      <c r="A158" s="10">
        <v>1</v>
      </c>
      <c r="B158" s="10">
        <v>13.5</v>
      </c>
      <c r="C158" s="10">
        <v>19.8</v>
      </c>
      <c r="D158" s="10">
        <v>32.299999999999997</v>
      </c>
      <c r="E158" s="10">
        <v>89.4</v>
      </c>
      <c r="F158" s="10">
        <v>0</v>
      </c>
      <c r="G158" s="5"/>
      <c r="H158" s="10">
        <v>0</v>
      </c>
      <c r="I158" s="10">
        <v>13.1</v>
      </c>
      <c r="J158" s="10">
        <v>21.6</v>
      </c>
      <c r="K158" s="10">
        <v>29.2</v>
      </c>
      <c r="L158" s="10">
        <v>89.6</v>
      </c>
      <c r="M158" s="10">
        <v>0</v>
      </c>
      <c r="O158" s="10">
        <v>1</v>
      </c>
      <c r="P158" s="10">
        <v>13.5</v>
      </c>
      <c r="Q158" s="10">
        <v>19.8</v>
      </c>
      <c r="R158" s="10">
        <v>32.299999999999997</v>
      </c>
      <c r="S158" s="10">
        <v>89.4</v>
      </c>
      <c r="T158" s="10">
        <v>0</v>
      </c>
    </row>
    <row r="159" spans="1:20" x14ac:dyDescent="0.25">
      <c r="A159" s="10">
        <v>0</v>
      </c>
      <c r="B159" s="10">
        <v>13.1</v>
      </c>
      <c r="C159" s="10">
        <v>21.4</v>
      </c>
      <c r="D159" s="10">
        <v>29.4</v>
      </c>
      <c r="E159" s="10">
        <v>73.3</v>
      </c>
      <c r="F159" s="10">
        <v>0</v>
      </c>
      <c r="G159" s="5"/>
      <c r="H159" s="10">
        <v>0</v>
      </c>
      <c r="I159" s="10">
        <v>13.9</v>
      </c>
      <c r="J159" s="10">
        <v>29.7</v>
      </c>
      <c r="K159" s="10">
        <v>28.4</v>
      </c>
      <c r="L159" s="10">
        <v>70.7</v>
      </c>
      <c r="M159" s="10">
        <v>0</v>
      </c>
      <c r="O159" s="10">
        <v>0</v>
      </c>
      <c r="P159" s="10">
        <v>13.1</v>
      </c>
      <c r="Q159" s="10">
        <v>21.4</v>
      </c>
      <c r="R159" s="10">
        <v>29.4</v>
      </c>
      <c r="S159" s="10">
        <v>73.3</v>
      </c>
      <c r="T159" s="10">
        <v>0</v>
      </c>
    </row>
    <row r="160" spans="1:20" x14ac:dyDescent="0.25">
      <c r="A160" s="10">
        <v>0</v>
      </c>
      <c r="B160" s="10">
        <v>15.2</v>
      </c>
      <c r="C160" s="10">
        <v>21.5</v>
      </c>
      <c r="D160" s="10">
        <v>32.5</v>
      </c>
      <c r="E160" s="10">
        <v>84.5</v>
      </c>
      <c r="F160" s="10">
        <v>0</v>
      </c>
      <c r="G160" s="5"/>
      <c r="H160" s="10">
        <v>1</v>
      </c>
      <c r="I160" s="10">
        <v>13.9</v>
      </c>
      <c r="J160" s="10">
        <v>25.9</v>
      </c>
      <c r="K160" s="10">
        <v>31.3</v>
      </c>
      <c r="L160" s="10">
        <v>71.2</v>
      </c>
      <c r="M160" s="10">
        <v>0</v>
      </c>
      <c r="O160" s="10">
        <v>0</v>
      </c>
      <c r="P160" s="10">
        <v>15.2</v>
      </c>
      <c r="Q160" s="10">
        <v>21.5</v>
      </c>
      <c r="R160" s="10">
        <v>32.5</v>
      </c>
      <c r="S160" s="10">
        <v>84.5</v>
      </c>
      <c r="T160" s="10">
        <v>0</v>
      </c>
    </row>
    <row r="161" spans="1:20" x14ac:dyDescent="0.25">
      <c r="A161" s="10">
        <v>0</v>
      </c>
      <c r="B161" s="10">
        <v>12.9</v>
      </c>
      <c r="C161" s="10">
        <v>21.8</v>
      </c>
      <c r="D161" s="10">
        <v>31.9</v>
      </c>
      <c r="E161" s="10">
        <v>94.4</v>
      </c>
      <c r="F161" s="10">
        <v>0</v>
      </c>
      <c r="G161" s="5"/>
      <c r="H161" s="10">
        <v>1</v>
      </c>
      <c r="I161" s="10">
        <v>15.7</v>
      </c>
      <c r="J161" s="10">
        <v>17.7</v>
      </c>
      <c r="K161" s="10">
        <v>28.3</v>
      </c>
      <c r="L161" s="10">
        <v>76.8</v>
      </c>
      <c r="M161" s="10">
        <v>0</v>
      </c>
      <c r="O161" s="10">
        <v>0</v>
      </c>
      <c r="P161" s="10">
        <v>12.9</v>
      </c>
      <c r="Q161" s="10">
        <v>21.8</v>
      </c>
      <c r="R161" s="10">
        <v>31.9</v>
      </c>
      <c r="S161" s="10">
        <v>94.4</v>
      </c>
      <c r="T161" s="10">
        <v>0</v>
      </c>
    </row>
    <row r="162" spans="1:20" x14ac:dyDescent="0.25">
      <c r="A162" s="10">
        <v>0</v>
      </c>
      <c r="B162" s="10">
        <v>16.600000000000001</v>
      </c>
      <c r="C162" s="10">
        <v>26.3</v>
      </c>
      <c r="D162" s="10">
        <v>29.8</v>
      </c>
      <c r="E162" s="10">
        <v>85.1</v>
      </c>
      <c r="F162" s="10">
        <v>0</v>
      </c>
      <c r="G162" s="5"/>
      <c r="H162" s="10">
        <v>1</v>
      </c>
      <c r="I162" s="10">
        <v>15.6</v>
      </c>
      <c r="J162" s="10">
        <v>19.399999999999999</v>
      </c>
      <c r="K162" s="10">
        <v>29.4</v>
      </c>
      <c r="L162" s="10">
        <v>88.2</v>
      </c>
      <c r="M162" s="10">
        <v>0</v>
      </c>
      <c r="O162" s="10">
        <v>0</v>
      </c>
      <c r="P162" s="10">
        <v>16.600000000000001</v>
      </c>
      <c r="Q162" s="10">
        <v>26.3</v>
      </c>
      <c r="R162" s="10">
        <v>29.8</v>
      </c>
      <c r="S162" s="10">
        <v>85.1</v>
      </c>
      <c r="T162" s="10">
        <v>0</v>
      </c>
    </row>
    <row r="163" spans="1:20" x14ac:dyDescent="0.25">
      <c r="A163" s="10">
        <v>1</v>
      </c>
      <c r="B163" s="10">
        <v>14.3</v>
      </c>
      <c r="C163" s="10">
        <v>27.7</v>
      </c>
      <c r="D163" s="10">
        <v>28.9</v>
      </c>
      <c r="E163" s="10">
        <v>70.3</v>
      </c>
      <c r="F163" s="10">
        <v>0</v>
      </c>
      <c r="G163" s="5"/>
      <c r="H163" s="10">
        <v>1</v>
      </c>
      <c r="I163" s="10">
        <v>14.7</v>
      </c>
      <c r="J163" s="10">
        <v>22.3</v>
      </c>
      <c r="K163" s="10">
        <v>28.6</v>
      </c>
      <c r="L163" s="10">
        <v>89.5</v>
      </c>
      <c r="M163" s="10">
        <v>0</v>
      </c>
      <c r="O163" s="10">
        <v>1</v>
      </c>
      <c r="P163" s="10">
        <v>14.3</v>
      </c>
      <c r="Q163" s="10">
        <v>27.7</v>
      </c>
      <c r="R163" s="10">
        <v>28.9</v>
      </c>
      <c r="S163" s="10">
        <v>70.3</v>
      </c>
      <c r="T163" s="10">
        <v>0</v>
      </c>
    </row>
    <row r="164" spans="1:20" x14ac:dyDescent="0.25">
      <c r="A164" s="10">
        <v>1</v>
      </c>
      <c r="B164" s="10">
        <v>14</v>
      </c>
      <c r="C164" s="10">
        <v>20.100000000000001</v>
      </c>
      <c r="D164" s="10">
        <v>32.4</v>
      </c>
      <c r="E164" s="10">
        <v>71.099999999999994</v>
      </c>
      <c r="F164" s="10">
        <v>0</v>
      </c>
      <c r="G164" s="5"/>
      <c r="H164" s="10">
        <v>1</v>
      </c>
      <c r="I164" s="10">
        <v>14</v>
      </c>
      <c r="J164" s="10">
        <v>23.6</v>
      </c>
      <c r="K164" s="10">
        <v>28.3</v>
      </c>
      <c r="L164" s="10">
        <v>89.8</v>
      </c>
      <c r="M164" s="10">
        <v>0</v>
      </c>
      <c r="O164" s="10">
        <v>1</v>
      </c>
      <c r="P164" s="10">
        <v>14</v>
      </c>
      <c r="Q164" s="10">
        <v>20.100000000000001</v>
      </c>
      <c r="R164" s="10">
        <v>32.4</v>
      </c>
      <c r="S164" s="10">
        <v>71.099999999999994</v>
      </c>
      <c r="T164" s="10">
        <v>0</v>
      </c>
    </row>
    <row r="165" spans="1:20" x14ac:dyDescent="0.25">
      <c r="A165" s="10">
        <v>0</v>
      </c>
      <c r="B165" s="10">
        <v>14</v>
      </c>
      <c r="C165" s="10">
        <v>27.4</v>
      </c>
      <c r="D165" s="10">
        <v>31.8</v>
      </c>
      <c r="E165" s="10">
        <v>87.2</v>
      </c>
      <c r="F165" s="10">
        <v>0</v>
      </c>
      <c r="G165" s="5"/>
      <c r="H165" s="10">
        <v>1</v>
      </c>
      <c r="I165" s="10">
        <v>12.1</v>
      </c>
      <c r="J165" s="10">
        <v>21.7</v>
      </c>
      <c r="K165" s="10">
        <v>30.9</v>
      </c>
      <c r="L165" s="10">
        <v>70.8</v>
      </c>
      <c r="M165" s="10">
        <v>1</v>
      </c>
      <c r="O165" s="10">
        <v>0</v>
      </c>
      <c r="P165" s="10">
        <v>14</v>
      </c>
      <c r="Q165" s="10">
        <v>27.4</v>
      </c>
      <c r="R165" s="10">
        <v>31.8</v>
      </c>
      <c r="S165" s="10">
        <v>87.2</v>
      </c>
      <c r="T165" s="10">
        <v>0</v>
      </c>
    </row>
    <row r="166" spans="1:20" x14ac:dyDescent="0.25">
      <c r="A166" s="10">
        <v>0</v>
      </c>
      <c r="B166" s="10">
        <v>16.8</v>
      </c>
      <c r="C166" s="10">
        <v>18.5</v>
      </c>
      <c r="D166" s="10">
        <v>28.6</v>
      </c>
      <c r="E166" s="10">
        <v>96</v>
      </c>
      <c r="F166" s="10">
        <v>0</v>
      </c>
      <c r="G166" s="5"/>
      <c r="H166" s="10">
        <v>0</v>
      </c>
      <c r="I166" s="10">
        <v>11.1</v>
      </c>
      <c r="J166" s="10">
        <v>29.8</v>
      </c>
      <c r="K166" s="10">
        <v>29.2</v>
      </c>
      <c r="L166" s="10">
        <v>78</v>
      </c>
      <c r="M166" s="10">
        <v>1</v>
      </c>
      <c r="O166" s="10">
        <v>0</v>
      </c>
      <c r="P166" s="10">
        <v>16.8</v>
      </c>
      <c r="Q166" s="10">
        <v>18.5</v>
      </c>
      <c r="R166" s="10">
        <v>28.6</v>
      </c>
      <c r="S166" s="10">
        <v>96</v>
      </c>
      <c r="T166" s="10">
        <v>0</v>
      </c>
    </row>
    <row r="167" spans="1:20" x14ac:dyDescent="0.25">
      <c r="A167" s="10">
        <v>1</v>
      </c>
      <c r="B167" s="10">
        <v>15.5</v>
      </c>
      <c r="C167" s="10">
        <v>21.3</v>
      </c>
      <c r="D167" s="10">
        <v>28</v>
      </c>
      <c r="E167" s="10">
        <v>75.900000000000006</v>
      </c>
      <c r="F167" s="10">
        <v>0</v>
      </c>
      <c r="G167" s="5"/>
      <c r="H167" s="10">
        <v>0</v>
      </c>
      <c r="I167" s="10">
        <v>13.8</v>
      </c>
      <c r="J167" s="10">
        <v>17.899999999999999</v>
      </c>
      <c r="K167" s="10">
        <v>29.1</v>
      </c>
      <c r="L167" s="10">
        <v>80.900000000000006</v>
      </c>
      <c r="M167" s="10">
        <v>0</v>
      </c>
      <c r="O167" s="10">
        <v>1</v>
      </c>
      <c r="P167" s="10">
        <v>15.5</v>
      </c>
      <c r="Q167" s="10">
        <v>21.3</v>
      </c>
      <c r="R167" s="10">
        <v>28</v>
      </c>
      <c r="S167" s="10">
        <v>75.900000000000006</v>
      </c>
      <c r="T167" s="10">
        <v>0</v>
      </c>
    </row>
    <row r="168" spans="1:20" x14ac:dyDescent="0.25">
      <c r="A168" s="10">
        <v>0</v>
      </c>
      <c r="B168" s="10">
        <v>12.6</v>
      </c>
      <c r="C168" s="10">
        <v>25</v>
      </c>
      <c r="D168" s="10">
        <v>28</v>
      </c>
      <c r="E168" s="10">
        <v>88.3</v>
      </c>
      <c r="F168" s="10">
        <v>0</v>
      </c>
      <c r="G168" s="5"/>
      <c r="H168" s="10">
        <v>1</v>
      </c>
      <c r="I168" s="10">
        <v>11.7</v>
      </c>
      <c r="J168" s="10">
        <v>28.1</v>
      </c>
      <c r="K168" s="10">
        <v>31.9</v>
      </c>
      <c r="L168" s="10">
        <v>72.7</v>
      </c>
      <c r="M168" s="10">
        <v>1</v>
      </c>
      <c r="O168" s="10">
        <v>0</v>
      </c>
      <c r="P168" s="10">
        <v>12.6</v>
      </c>
      <c r="Q168" s="10">
        <v>25</v>
      </c>
      <c r="R168" s="10">
        <v>28</v>
      </c>
      <c r="S168" s="10">
        <v>88.3</v>
      </c>
      <c r="T168" s="10">
        <v>0</v>
      </c>
    </row>
    <row r="169" spans="1:20" x14ac:dyDescent="0.25">
      <c r="A169" s="10">
        <v>0</v>
      </c>
      <c r="B169" s="10">
        <v>15.5</v>
      </c>
      <c r="C169" s="10">
        <v>24.1</v>
      </c>
      <c r="D169" s="10">
        <v>32.200000000000003</v>
      </c>
      <c r="E169" s="10">
        <v>97.4</v>
      </c>
      <c r="F169" s="10">
        <v>0</v>
      </c>
      <c r="G169" s="5"/>
      <c r="H169" s="10">
        <v>1</v>
      </c>
      <c r="I169" s="10">
        <v>16.7</v>
      </c>
      <c r="J169" s="10">
        <v>16.5</v>
      </c>
      <c r="K169" s="10">
        <v>30.5</v>
      </c>
      <c r="L169" s="10">
        <v>94.5</v>
      </c>
      <c r="M169" s="10">
        <v>0</v>
      </c>
      <c r="O169" s="10">
        <v>0</v>
      </c>
      <c r="P169" s="10">
        <v>15.5</v>
      </c>
      <c r="Q169" s="10">
        <v>24.1</v>
      </c>
      <c r="R169" s="10">
        <v>32.200000000000003</v>
      </c>
      <c r="S169" s="10">
        <v>97.4</v>
      </c>
      <c r="T169" s="10">
        <v>0</v>
      </c>
    </row>
    <row r="170" spans="1:20" x14ac:dyDescent="0.25">
      <c r="A170" s="10">
        <v>1</v>
      </c>
      <c r="B170" s="10">
        <v>13.9</v>
      </c>
      <c r="C170" s="10">
        <v>22.5</v>
      </c>
      <c r="D170" s="10">
        <v>28.2</v>
      </c>
      <c r="E170" s="10">
        <v>98.5</v>
      </c>
      <c r="F170" s="10">
        <v>0</v>
      </c>
      <c r="G170" s="5"/>
      <c r="H170" s="10">
        <v>0</v>
      </c>
      <c r="I170" s="10">
        <v>13.9</v>
      </c>
      <c r="J170" s="10">
        <v>29.3</v>
      </c>
      <c r="K170" s="10">
        <v>32.200000000000003</v>
      </c>
      <c r="L170" s="10">
        <v>78.7</v>
      </c>
      <c r="M170" s="10">
        <v>0</v>
      </c>
      <c r="O170" s="10">
        <v>1</v>
      </c>
      <c r="P170" s="10">
        <v>13.9</v>
      </c>
      <c r="Q170" s="10">
        <v>22.5</v>
      </c>
      <c r="R170" s="10">
        <v>28.2</v>
      </c>
      <c r="S170" s="10">
        <v>98.5</v>
      </c>
      <c r="T170" s="10">
        <v>0</v>
      </c>
    </row>
    <row r="171" spans="1:20" x14ac:dyDescent="0.25">
      <c r="A171" s="10">
        <v>0</v>
      </c>
      <c r="B171" s="10">
        <v>12.6</v>
      </c>
      <c r="C171" s="10">
        <v>23.2</v>
      </c>
      <c r="D171" s="10">
        <v>28.3</v>
      </c>
      <c r="E171" s="10">
        <v>92.9</v>
      </c>
      <c r="F171" s="10">
        <v>0</v>
      </c>
      <c r="G171" s="5"/>
      <c r="H171" s="10">
        <v>1</v>
      </c>
      <c r="I171" s="10">
        <v>13.1</v>
      </c>
      <c r="J171" s="10">
        <v>22.2</v>
      </c>
      <c r="K171" s="10">
        <v>31.5</v>
      </c>
      <c r="L171" s="10">
        <v>87.3</v>
      </c>
      <c r="M171" s="10">
        <v>1</v>
      </c>
      <c r="O171" s="10">
        <v>0</v>
      </c>
      <c r="P171" s="10">
        <v>12.6</v>
      </c>
      <c r="Q171" s="10">
        <v>23.2</v>
      </c>
      <c r="R171" s="10">
        <v>28.3</v>
      </c>
      <c r="S171" s="10">
        <v>92.9</v>
      </c>
      <c r="T171" s="10">
        <v>0</v>
      </c>
    </row>
    <row r="172" spans="1:20" x14ac:dyDescent="0.25">
      <c r="A172" s="10">
        <v>0</v>
      </c>
      <c r="B172" s="10">
        <v>14.9</v>
      </c>
      <c r="C172" s="10">
        <v>24.4</v>
      </c>
      <c r="D172" s="10">
        <v>30.1</v>
      </c>
      <c r="E172" s="10">
        <v>94.7</v>
      </c>
      <c r="F172" s="10">
        <v>0</v>
      </c>
      <c r="G172" s="5"/>
      <c r="H172" s="10">
        <v>1</v>
      </c>
      <c r="I172" s="10">
        <v>11.1</v>
      </c>
      <c r="J172" s="10">
        <v>21.2</v>
      </c>
      <c r="K172" s="10">
        <v>31</v>
      </c>
      <c r="L172" s="10">
        <v>87</v>
      </c>
      <c r="M172" s="10">
        <v>1</v>
      </c>
      <c r="O172" s="10">
        <v>0</v>
      </c>
      <c r="P172" s="10">
        <v>14.9</v>
      </c>
      <c r="Q172" s="10">
        <v>24.4</v>
      </c>
      <c r="R172" s="10">
        <v>30.1</v>
      </c>
      <c r="S172" s="10">
        <v>94.7</v>
      </c>
      <c r="T172" s="10">
        <v>0</v>
      </c>
    </row>
    <row r="173" spans="1:20" x14ac:dyDescent="0.25">
      <c r="A173" s="10">
        <v>1</v>
      </c>
      <c r="B173" s="10">
        <v>14.9</v>
      </c>
      <c r="C173" s="10">
        <v>22.4</v>
      </c>
      <c r="D173" s="10">
        <v>29.9</v>
      </c>
      <c r="E173" s="10">
        <v>80.599999999999994</v>
      </c>
      <c r="F173" s="10">
        <v>0</v>
      </c>
      <c r="G173" s="5"/>
      <c r="H173" s="10">
        <v>1</v>
      </c>
      <c r="I173" s="10">
        <v>12.4</v>
      </c>
      <c r="J173" s="10">
        <v>23.3</v>
      </c>
      <c r="K173" s="10">
        <v>31.3</v>
      </c>
      <c r="L173" s="10">
        <v>70.099999999999994</v>
      </c>
      <c r="M173" s="10">
        <v>1</v>
      </c>
      <c r="O173" s="10">
        <v>1</v>
      </c>
      <c r="P173" s="10">
        <v>14.9</v>
      </c>
      <c r="Q173" s="10">
        <v>22.4</v>
      </c>
      <c r="R173" s="10">
        <v>29.9</v>
      </c>
      <c r="S173" s="10">
        <v>80.599999999999994</v>
      </c>
      <c r="T173" s="10">
        <v>0</v>
      </c>
    </row>
    <row r="174" spans="1:20" x14ac:dyDescent="0.25">
      <c r="A174" s="10">
        <v>0</v>
      </c>
      <c r="B174" s="10">
        <v>12.1</v>
      </c>
      <c r="C174" s="10">
        <v>29.1</v>
      </c>
      <c r="D174" s="10">
        <v>29.4</v>
      </c>
      <c r="E174" s="10">
        <v>85.3</v>
      </c>
      <c r="F174" s="10">
        <v>0</v>
      </c>
      <c r="G174" s="5"/>
      <c r="H174" s="10">
        <v>0</v>
      </c>
      <c r="I174" s="10">
        <v>15.5</v>
      </c>
      <c r="J174" s="10">
        <v>25.5</v>
      </c>
      <c r="K174" s="10">
        <v>27.8</v>
      </c>
      <c r="L174" s="10">
        <v>70.900000000000006</v>
      </c>
      <c r="M174" s="10">
        <v>0</v>
      </c>
      <c r="O174" s="10">
        <v>0</v>
      </c>
      <c r="P174" s="10">
        <v>12.1</v>
      </c>
      <c r="Q174" s="10">
        <v>29.1</v>
      </c>
      <c r="R174" s="10">
        <v>29.4</v>
      </c>
      <c r="S174" s="10">
        <v>85.3</v>
      </c>
      <c r="T174" s="10">
        <v>0</v>
      </c>
    </row>
    <row r="175" spans="1:20" x14ac:dyDescent="0.25">
      <c r="A175" s="10">
        <v>1</v>
      </c>
      <c r="B175" s="10">
        <v>15.8</v>
      </c>
      <c r="C175" s="10">
        <v>24.1</v>
      </c>
      <c r="D175" s="10">
        <v>31.8</v>
      </c>
      <c r="E175" s="10">
        <v>98.5</v>
      </c>
      <c r="F175" s="10">
        <v>0</v>
      </c>
      <c r="G175" s="5"/>
      <c r="H175" s="10">
        <v>0</v>
      </c>
      <c r="I175" s="10">
        <v>11.2</v>
      </c>
      <c r="J175" s="10">
        <v>20.100000000000001</v>
      </c>
      <c r="K175" s="10">
        <v>30.8</v>
      </c>
      <c r="L175" s="10">
        <v>76.400000000000006</v>
      </c>
      <c r="M175" s="10">
        <v>1</v>
      </c>
      <c r="O175" s="10">
        <v>1</v>
      </c>
      <c r="P175" s="10">
        <v>15.8</v>
      </c>
      <c r="Q175" s="10">
        <v>24.1</v>
      </c>
      <c r="R175" s="10">
        <v>31.8</v>
      </c>
      <c r="S175" s="10">
        <v>98.5</v>
      </c>
      <c r="T175" s="10">
        <v>0</v>
      </c>
    </row>
    <row r="176" spans="1:20" x14ac:dyDescent="0.25">
      <c r="A176" s="10">
        <v>1</v>
      </c>
      <c r="B176" s="10">
        <v>14.1</v>
      </c>
      <c r="C176" s="10">
        <v>19.399999999999999</v>
      </c>
      <c r="D176" s="10">
        <v>32.1</v>
      </c>
      <c r="E176" s="10">
        <v>77.400000000000006</v>
      </c>
      <c r="F176" s="10">
        <v>0</v>
      </c>
      <c r="G176" s="5"/>
      <c r="H176" s="10">
        <v>1</v>
      </c>
      <c r="I176" s="10">
        <v>10.4</v>
      </c>
      <c r="J176" s="10">
        <v>18.899999999999999</v>
      </c>
      <c r="K176" s="10">
        <v>27.8</v>
      </c>
      <c r="L176" s="10">
        <v>75.099999999999994</v>
      </c>
      <c r="M176" s="10">
        <v>1</v>
      </c>
      <c r="O176" s="10">
        <v>1</v>
      </c>
      <c r="P176" s="10">
        <v>14.1</v>
      </c>
      <c r="Q176" s="10">
        <v>19.399999999999999</v>
      </c>
      <c r="R176" s="10">
        <v>32.1</v>
      </c>
      <c r="S176" s="10">
        <v>77.400000000000006</v>
      </c>
      <c r="T176" s="10">
        <v>0</v>
      </c>
    </row>
    <row r="177" spans="1:20" x14ac:dyDescent="0.25">
      <c r="A177" s="10">
        <v>0</v>
      </c>
      <c r="B177" s="10">
        <v>16.399999999999999</v>
      </c>
      <c r="C177" s="10">
        <v>29.6</v>
      </c>
      <c r="D177" s="10">
        <v>30.6</v>
      </c>
      <c r="E177" s="10">
        <v>75.3</v>
      </c>
      <c r="F177" s="10">
        <v>0</v>
      </c>
      <c r="G177" s="5"/>
      <c r="H177" s="10">
        <v>1</v>
      </c>
      <c r="I177" s="10">
        <v>12</v>
      </c>
      <c r="J177" s="10">
        <v>17.2</v>
      </c>
      <c r="K177" s="10">
        <v>31.3</v>
      </c>
      <c r="L177" s="10">
        <v>77.400000000000006</v>
      </c>
      <c r="M177" s="10">
        <v>1</v>
      </c>
      <c r="O177" s="10">
        <v>0</v>
      </c>
      <c r="P177" s="10">
        <v>16.399999999999999</v>
      </c>
      <c r="Q177" s="10">
        <v>29.6</v>
      </c>
      <c r="R177" s="10">
        <v>30.6</v>
      </c>
      <c r="S177" s="10">
        <v>75.3</v>
      </c>
      <c r="T177" s="10">
        <v>0</v>
      </c>
    </row>
    <row r="178" spans="1:20" x14ac:dyDescent="0.25">
      <c r="A178" s="10">
        <v>1</v>
      </c>
      <c r="B178" s="10">
        <v>16.3</v>
      </c>
      <c r="C178" s="10">
        <v>24.8</v>
      </c>
      <c r="D178" s="10">
        <v>30.6</v>
      </c>
      <c r="E178" s="10">
        <v>83.9</v>
      </c>
      <c r="F178" s="10">
        <v>0</v>
      </c>
      <c r="G178" s="5"/>
      <c r="H178" s="10">
        <v>1</v>
      </c>
      <c r="I178" s="10">
        <v>15.2</v>
      </c>
      <c r="J178" s="10">
        <v>18</v>
      </c>
      <c r="K178" s="10">
        <v>31.2</v>
      </c>
      <c r="L178" s="10">
        <v>80.3</v>
      </c>
      <c r="M178" s="10">
        <v>0</v>
      </c>
      <c r="O178" s="10">
        <v>1</v>
      </c>
      <c r="P178" s="10">
        <v>16.3</v>
      </c>
      <c r="Q178" s="10">
        <v>24.8</v>
      </c>
      <c r="R178" s="10">
        <v>30.6</v>
      </c>
      <c r="S178" s="10">
        <v>83.9</v>
      </c>
      <c r="T178" s="10">
        <v>0</v>
      </c>
    </row>
    <row r="179" spans="1:20" x14ac:dyDescent="0.25">
      <c r="A179" s="10">
        <v>1</v>
      </c>
      <c r="B179" s="10">
        <v>14.9</v>
      </c>
      <c r="C179" s="10">
        <v>28.2</v>
      </c>
      <c r="D179" s="10">
        <v>31.2</v>
      </c>
      <c r="E179" s="10">
        <v>90.8</v>
      </c>
      <c r="F179" s="10">
        <v>0</v>
      </c>
      <c r="G179" s="5"/>
      <c r="H179" s="10">
        <v>0</v>
      </c>
      <c r="I179" s="10">
        <v>11.5</v>
      </c>
      <c r="J179" s="10">
        <v>16.2</v>
      </c>
      <c r="K179" s="10">
        <v>30.9</v>
      </c>
      <c r="L179" s="10">
        <v>100.8</v>
      </c>
      <c r="M179" s="10">
        <v>1</v>
      </c>
      <c r="O179" s="10">
        <v>1</v>
      </c>
      <c r="P179" s="10">
        <v>14.9</v>
      </c>
      <c r="Q179" s="10">
        <v>28.2</v>
      </c>
      <c r="R179" s="10">
        <v>31.2</v>
      </c>
      <c r="S179" s="10">
        <v>90.8</v>
      </c>
      <c r="T179" s="10">
        <v>0</v>
      </c>
    </row>
    <row r="180" spans="1:20" x14ac:dyDescent="0.25">
      <c r="A180" s="10">
        <v>0</v>
      </c>
      <c r="B180" s="10">
        <v>15.3</v>
      </c>
      <c r="C180" s="10">
        <v>17.3</v>
      </c>
      <c r="D180" s="10">
        <v>32.200000000000003</v>
      </c>
      <c r="E180" s="10">
        <v>89.2</v>
      </c>
      <c r="F180" s="10">
        <v>0</v>
      </c>
      <c r="G180" s="5"/>
      <c r="H180" s="10">
        <v>0</v>
      </c>
      <c r="I180" s="10">
        <v>15.9</v>
      </c>
      <c r="J180" s="10">
        <v>24.7</v>
      </c>
      <c r="K180" s="10">
        <v>29.8</v>
      </c>
      <c r="L180" s="10">
        <v>96.7</v>
      </c>
      <c r="M180" s="10">
        <v>0</v>
      </c>
      <c r="O180" s="10">
        <v>0</v>
      </c>
      <c r="P180" s="10">
        <v>15.3</v>
      </c>
      <c r="Q180" s="10">
        <v>17.3</v>
      </c>
      <c r="R180" s="10">
        <v>32.200000000000003</v>
      </c>
      <c r="S180" s="10">
        <v>89.2</v>
      </c>
      <c r="T180" s="10">
        <v>0</v>
      </c>
    </row>
    <row r="181" spans="1:20" x14ac:dyDescent="0.25">
      <c r="A181" s="10">
        <v>0</v>
      </c>
      <c r="B181" s="10">
        <v>14.3</v>
      </c>
      <c r="C181" s="10">
        <v>21.3</v>
      </c>
      <c r="D181" s="10">
        <v>29.9</v>
      </c>
      <c r="E181" s="10">
        <v>101.4</v>
      </c>
      <c r="F181" s="10">
        <v>0</v>
      </c>
      <c r="G181" s="5"/>
      <c r="H181" s="10">
        <v>0</v>
      </c>
      <c r="I181" s="10">
        <v>12.8</v>
      </c>
      <c r="J181" s="10">
        <v>24</v>
      </c>
      <c r="K181" s="10">
        <v>28.5</v>
      </c>
      <c r="L181" s="10">
        <v>75.3</v>
      </c>
      <c r="M181" s="10">
        <v>0</v>
      </c>
      <c r="O181" s="10">
        <v>0</v>
      </c>
      <c r="P181" s="10">
        <v>14.3</v>
      </c>
      <c r="Q181" s="10">
        <v>21.3</v>
      </c>
      <c r="R181" s="10">
        <v>29.9</v>
      </c>
      <c r="S181" s="10">
        <v>101.4</v>
      </c>
      <c r="T181" s="10">
        <v>0</v>
      </c>
    </row>
    <row r="182" spans="1:20" x14ac:dyDescent="0.25">
      <c r="A182" s="10">
        <v>0</v>
      </c>
      <c r="B182" s="10">
        <v>12.4</v>
      </c>
      <c r="C182" s="10">
        <v>16.2</v>
      </c>
      <c r="D182" s="10">
        <v>31.8</v>
      </c>
      <c r="E182" s="10">
        <v>98.5</v>
      </c>
      <c r="F182" s="10">
        <v>0</v>
      </c>
      <c r="G182" s="5"/>
      <c r="H182" s="10">
        <v>1</v>
      </c>
      <c r="I182" s="10">
        <v>10.5</v>
      </c>
      <c r="J182" s="10">
        <v>25.3</v>
      </c>
      <c r="K182" s="10">
        <v>27.9</v>
      </c>
      <c r="L182" s="10">
        <v>77.099999999999994</v>
      </c>
      <c r="M182" s="10">
        <v>1</v>
      </c>
      <c r="O182" s="10">
        <v>0</v>
      </c>
      <c r="P182" s="10">
        <v>12.4</v>
      </c>
      <c r="Q182" s="10">
        <v>16.2</v>
      </c>
      <c r="R182" s="10">
        <v>31.8</v>
      </c>
      <c r="S182" s="10">
        <v>98.5</v>
      </c>
      <c r="T182" s="10">
        <v>0</v>
      </c>
    </row>
    <row r="183" spans="1:20" x14ac:dyDescent="0.25">
      <c r="A183" s="10">
        <v>1</v>
      </c>
      <c r="B183" s="10">
        <v>16.600000000000001</v>
      </c>
      <c r="C183" s="10">
        <v>18.8</v>
      </c>
      <c r="D183" s="10">
        <v>28.1</v>
      </c>
      <c r="E183" s="10">
        <v>70.900000000000006</v>
      </c>
      <c r="F183" s="10">
        <v>0</v>
      </c>
      <c r="G183" s="5"/>
      <c r="H183" s="10">
        <v>1</v>
      </c>
      <c r="I183" s="10">
        <v>12.5</v>
      </c>
      <c r="J183" s="10">
        <v>25.6</v>
      </c>
      <c r="K183" s="10">
        <v>29.9</v>
      </c>
      <c r="L183" s="10">
        <v>79.099999999999994</v>
      </c>
      <c r="M183" s="10">
        <v>1</v>
      </c>
      <c r="O183" s="10">
        <v>1</v>
      </c>
      <c r="P183" s="10">
        <v>16.600000000000001</v>
      </c>
      <c r="Q183" s="10">
        <v>18.8</v>
      </c>
      <c r="R183" s="10">
        <v>28.1</v>
      </c>
      <c r="S183" s="10">
        <v>70.900000000000006</v>
      </c>
      <c r="T183" s="10">
        <v>0</v>
      </c>
    </row>
    <row r="184" spans="1:20" x14ac:dyDescent="0.25">
      <c r="A184" s="10">
        <v>0</v>
      </c>
      <c r="B184" s="10">
        <v>14.8</v>
      </c>
      <c r="C184" s="10">
        <v>25.2</v>
      </c>
      <c r="D184" s="10">
        <v>30.7</v>
      </c>
      <c r="E184" s="10">
        <v>101</v>
      </c>
      <c r="F184" s="10">
        <v>0</v>
      </c>
      <c r="G184" s="5"/>
      <c r="H184" s="10">
        <v>1</v>
      </c>
      <c r="I184" s="10">
        <v>16.2</v>
      </c>
      <c r="J184" s="10">
        <v>19.5</v>
      </c>
      <c r="K184" s="10">
        <v>31</v>
      </c>
      <c r="L184" s="10">
        <v>76.599999999999994</v>
      </c>
      <c r="M184" s="10">
        <v>0</v>
      </c>
      <c r="O184" s="10">
        <v>0</v>
      </c>
      <c r="P184" s="10">
        <v>14.8</v>
      </c>
      <c r="Q184" s="10">
        <v>25.2</v>
      </c>
      <c r="R184" s="10">
        <v>30.7</v>
      </c>
      <c r="S184" s="10">
        <v>101</v>
      </c>
      <c r="T184" s="10">
        <v>0</v>
      </c>
    </row>
    <row r="185" spans="1:20" x14ac:dyDescent="0.25">
      <c r="A185" s="10">
        <v>0</v>
      </c>
      <c r="B185" s="10">
        <v>12.7</v>
      </c>
      <c r="C185" s="10">
        <v>24.3</v>
      </c>
      <c r="D185" s="10">
        <v>31.4</v>
      </c>
      <c r="E185" s="10">
        <v>75.5</v>
      </c>
      <c r="F185" s="10">
        <v>0</v>
      </c>
      <c r="G185" s="5"/>
      <c r="H185" s="10">
        <v>0</v>
      </c>
      <c r="I185" s="10">
        <v>10.7</v>
      </c>
      <c r="J185" s="10">
        <v>22.6</v>
      </c>
      <c r="K185" s="10">
        <v>30.2</v>
      </c>
      <c r="L185" s="10">
        <v>101.5</v>
      </c>
      <c r="M185" s="10">
        <v>1</v>
      </c>
      <c r="O185" s="10">
        <v>0</v>
      </c>
      <c r="P185" s="10">
        <v>12.7</v>
      </c>
      <c r="Q185" s="10">
        <v>24.3</v>
      </c>
      <c r="R185" s="10">
        <v>31.4</v>
      </c>
      <c r="S185" s="10">
        <v>75.5</v>
      </c>
      <c r="T185" s="10">
        <v>0</v>
      </c>
    </row>
    <row r="186" spans="1:20" x14ac:dyDescent="0.25">
      <c r="A186" s="10">
        <v>0</v>
      </c>
      <c r="B186" s="10">
        <v>13.2</v>
      </c>
      <c r="C186" s="10">
        <v>22</v>
      </c>
      <c r="D186" s="10">
        <v>30.7</v>
      </c>
      <c r="E186" s="10">
        <v>89.7</v>
      </c>
      <c r="F186" s="10">
        <v>0</v>
      </c>
      <c r="G186" s="5"/>
      <c r="H186" s="10">
        <v>1</v>
      </c>
      <c r="I186" s="10">
        <v>14.8</v>
      </c>
      <c r="J186" s="10">
        <v>23</v>
      </c>
      <c r="K186" s="10">
        <v>30.5</v>
      </c>
      <c r="L186" s="10">
        <v>69.8</v>
      </c>
      <c r="M186" s="10">
        <v>0</v>
      </c>
      <c r="O186" s="10">
        <v>0</v>
      </c>
      <c r="P186" s="10">
        <v>13.2</v>
      </c>
      <c r="Q186" s="10">
        <v>22</v>
      </c>
      <c r="R186" s="10">
        <v>30.7</v>
      </c>
      <c r="S186" s="10">
        <v>89.7</v>
      </c>
      <c r="T186" s="10">
        <v>0</v>
      </c>
    </row>
    <row r="187" spans="1:20" x14ac:dyDescent="0.25">
      <c r="A187" s="10">
        <v>0</v>
      </c>
      <c r="B187" s="10">
        <v>15.9</v>
      </c>
      <c r="C187" s="10">
        <v>19.7</v>
      </c>
      <c r="D187" s="10">
        <v>30.9</v>
      </c>
      <c r="E187" s="10">
        <v>101.4</v>
      </c>
      <c r="F187" s="10">
        <v>0</v>
      </c>
      <c r="G187" s="5"/>
      <c r="H187" s="10">
        <v>0</v>
      </c>
      <c r="I187" s="10">
        <v>13.1</v>
      </c>
      <c r="J187" s="10">
        <v>20.2</v>
      </c>
      <c r="K187" s="10">
        <v>32.4</v>
      </c>
      <c r="L187" s="10">
        <v>95.4</v>
      </c>
      <c r="M187" s="10">
        <v>0</v>
      </c>
      <c r="O187" s="10">
        <v>0</v>
      </c>
      <c r="P187" s="10">
        <v>15.9</v>
      </c>
      <c r="Q187" s="10">
        <v>19.7</v>
      </c>
      <c r="R187" s="10">
        <v>30.9</v>
      </c>
      <c r="S187" s="10">
        <v>101.4</v>
      </c>
      <c r="T187" s="10">
        <v>0</v>
      </c>
    </row>
    <row r="188" spans="1:20" x14ac:dyDescent="0.25">
      <c r="A188" s="10">
        <v>0</v>
      </c>
      <c r="B188" s="10">
        <v>14.7</v>
      </c>
      <c r="C188" s="10">
        <v>24.8</v>
      </c>
      <c r="D188" s="10">
        <v>29.4</v>
      </c>
      <c r="E188" s="10">
        <v>82.4</v>
      </c>
      <c r="F188" s="10">
        <v>0</v>
      </c>
      <c r="G188" s="5"/>
      <c r="H188" s="10">
        <v>1</v>
      </c>
      <c r="I188" s="10">
        <v>16.7</v>
      </c>
      <c r="J188" s="10">
        <v>25.1</v>
      </c>
      <c r="K188" s="10">
        <v>30.1</v>
      </c>
      <c r="L188" s="10">
        <v>70.8</v>
      </c>
      <c r="M188" s="10">
        <v>0</v>
      </c>
      <c r="O188" s="10">
        <v>0</v>
      </c>
      <c r="P188" s="10">
        <v>14.7</v>
      </c>
      <c r="Q188" s="10">
        <v>24.8</v>
      </c>
      <c r="R188" s="10">
        <v>29.4</v>
      </c>
      <c r="S188" s="10">
        <v>82.4</v>
      </c>
      <c r="T188" s="10">
        <v>0</v>
      </c>
    </row>
    <row r="189" spans="1:20" x14ac:dyDescent="0.25">
      <c r="A189" s="10">
        <v>0</v>
      </c>
      <c r="B189" s="10">
        <v>16.7</v>
      </c>
      <c r="C189" s="10">
        <v>28.8</v>
      </c>
      <c r="D189" s="10">
        <v>28.1</v>
      </c>
      <c r="E189" s="10">
        <v>92</v>
      </c>
      <c r="F189" s="10">
        <v>0</v>
      </c>
      <c r="G189" s="5"/>
      <c r="H189" s="10">
        <v>0</v>
      </c>
      <c r="I189" s="10">
        <v>13.2</v>
      </c>
      <c r="J189" s="10">
        <v>27.8</v>
      </c>
      <c r="K189" s="10">
        <v>30.6</v>
      </c>
      <c r="L189" s="10">
        <v>81.400000000000006</v>
      </c>
      <c r="M189" s="10">
        <v>0</v>
      </c>
      <c r="O189" s="10">
        <v>0</v>
      </c>
      <c r="P189" s="10">
        <v>16.7</v>
      </c>
      <c r="Q189" s="10">
        <v>28.8</v>
      </c>
      <c r="R189" s="10">
        <v>28.1</v>
      </c>
      <c r="S189" s="10">
        <v>92</v>
      </c>
      <c r="T189" s="10">
        <v>0</v>
      </c>
    </row>
    <row r="190" spans="1:20" x14ac:dyDescent="0.25">
      <c r="A190" s="10">
        <v>0</v>
      </c>
      <c r="B190" s="10">
        <v>14.2</v>
      </c>
      <c r="C190" s="10">
        <v>26.3</v>
      </c>
      <c r="D190" s="10">
        <v>28.8</v>
      </c>
      <c r="E190" s="10">
        <v>97.9</v>
      </c>
      <c r="F190" s="10">
        <v>0</v>
      </c>
      <c r="G190" s="5"/>
      <c r="H190" s="10">
        <v>1</v>
      </c>
      <c r="I190" s="10">
        <v>10.5</v>
      </c>
      <c r="J190" s="10">
        <v>28.3</v>
      </c>
      <c r="K190" s="10">
        <v>28.7</v>
      </c>
      <c r="L190" s="10">
        <v>100.1</v>
      </c>
      <c r="M190" s="10">
        <v>1</v>
      </c>
      <c r="O190" s="10">
        <v>0</v>
      </c>
      <c r="P190" s="10">
        <v>14.2</v>
      </c>
      <c r="Q190" s="10">
        <v>26.3</v>
      </c>
      <c r="R190" s="10">
        <v>28.8</v>
      </c>
      <c r="S190" s="10">
        <v>97.9</v>
      </c>
      <c r="T190" s="10">
        <v>0</v>
      </c>
    </row>
    <row r="191" spans="1:20" x14ac:dyDescent="0.25">
      <c r="A191" s="10">
        <v>0</v>
      </c>
      <c r="B191" s="10">
        <v>13.2</v>
      </c>
      <c r="C191" s="10">
        <v>23.8</v>
      </c>
      <c r="D191" s="10">
        <v>28</v>
      </c>
      <c r="E191" s="10">
        <v>89.9</v>
      </c>
      <c r="F191" s="10">
        <v>0</v>
      </c>
      <c r="G191" s="5"/>
      <c r="H191" s="10">
        <v>1</v>
      </c>
      <c r="I191" s="10">
        <v>12.4</v>
      </c>
      <c r="J191" s="10">
        <v>24.5</v>
      </c>
      <c r="K191" s="10">
        <v>30.7</v>
      </c>
      <c r="L191" s="10">
        <v>93.1</v>
      </c>
      <c r="M191" s="10">
        <v>1</v>
      </c>
      <c r="O191" s="10">
        <v>0</v>
      </c>
      <c r="P191" s="10">
        <v>13.2</v>
      </c>
      <c r="Q191" s="10">
        <v>23.8</v>
      </c>
      <c r="R191" s="10">
        <v>28</v>
      </c>
      <c r="S191" s="10">
        <v>89.9</v>
      </c>
      <c r="T191" s="10">
        <v>0</v>
      </c>
    </row>
    <row r="192" spans="1:20" x14ac:dyDescent="0.25">
      <c r="A192" s="10">
        <v>0</v>
      </c>
      <c r="B192" s="10">
        <v>14.8</v>
      </c>
      <c r="C192" s="10">
        <v>19.600000000000001</v>
      </c>
      <c r="D192" s="10">
        <v>29</v>
      </c>
      <c r="E192" s="10">
        <v>87.4</v>
      </c>
      <c r="F192" s="10">
        <v>0</v>
      </c>
      <c r="G192" s="5"/>
      <c r="H192" s="10">
        <v>0</v>
      </c>
      <c r="I192" s="10">
        <v>14.9</v>
      </c>
      <c r="J192" s="10">
        <v>29.8</v>
      </c>
      <c r="K192" s="10">
        <v>32</v>
      </c>
      <c r="L192" s="10">
        <v>92.1</v>
      </c>
      <c r="M192" s="10">
        <v>0</v>
      </c>
      <c r="O192" s="10">
        <v>0</v>
      </c>
      <c r="P192" s="10">
        <v>14.8</v>
      </c>
      <c r="Q192" s="10">
        <v>19.600000000000001</v>
      </c>
      <c r="R192" s="10">
        <v>29</v>
      </c>
      <c r="S192" s="10">
        <v>87.4</v>
      </c>
      <c r="T192" s="10">
        <v>0</v>
      </c>
    </row>
    <row r="193" spans="1:20" x14ac:dyDescent="0.25">
      <c r="A193" s="10">
        <v>1</v>
      </c>
      <c r="B193" s="10">
        <v>16</v>
      </c>
      <c r="C193" s="10">
        <v>19.7</v>
      </c>
      <c r="D193" s="10">
        <v>30.2</v>
      </c>
      <c r="E193" s="10">
        <v>90.9</v>
      </c>
      <c r="F193" s="10">
        <v>0</v>
      </c>
      <c r="G193" s="5"/>
      <c r="H193" s="10">
        <v>0</v>
      </c>
      <c r="I193" s="10">
        <v>11.3</v>
      </c>
      <c r="J193" s="10">
        <v>23.5</v>
      </c>
      <c r="K193" s="10">
        <v>28.4</v>
      </c>
      <c r="L193" s="10">
        <v>75.8</v>
      </c>
      <c r="M193" s="10">
        <v>1</v>
      </c>
      <c r="O193" s="10">
        <v>1</v>
      </c>
      <c r="P193" s="10">
        <v>16</v>
      </c>
      <c r="Q193" s="10">
        <v>19.7</v>
      </c>
      <c r="R193" s="10">
        <v>30.2</v>
      </c>
      <c r="S193" s="10">
        <v>90.9</v>
      </c>
      <c r="T193" s="10">
        <v>0</v>
      </c>
    </row>
    <row r="194" spans="1:20" x14ac:dyDescent="0.25">
      <c r="A194" s="10">
        <v>0</v>
      </c>
      <c r="B194" s="10">
        <v>16.5</v>
      </c>
      <c r="C194" s="10">
        <v>20.2</v>
      </c>
      <c r="D194" s="10">
        <v>28</v>
      </c>
      <c r="E194" s="10">
        <v>82.5</v>
      </c>
      <c r="F194" s="10">
        <v>0</v>
      </c>
      <c r="G194" s="5"/>
      <c r="H194" s="10">
        <v>1</v>
      </c>
      <c r="I194" s="10">
        <v>15</v>
      </c>
      <c r="J194" s="10">
        <v>21.7</v>
      </c>
      <c r="K194" s="10">
        <v>30.6</v>
      </c>
      <c r="L194" s="10">
        <v>90</v>
      </c>
      <c r="M194" s="10">
        <v>0</v>
      </c>
      <c r="O194" s="10">
        <v>0</v>
      </c>
      <c r="P194" s="10">
        <v>16.5</v>
      </c>
      <c r="Q194" s="10">
        <v>20.2</v>
      </c>
      <c r="R194" s="10">
        <v>28</v>
      </c>
      <c r="S194" s="10">
        <v>82.5</v>
      </c>
      <c r="T194" s="10">
        <v>0</v>
      </c>
    </row>
    <row r="195" spans="1:20" x14ac:dyDescent="0.25">
      <c r="A195" s="10">
        <v>0</v>
      </c>
      <c r="B195" s="10">
        <v>15.7</v>
      </c>
      <c r="C195" s="10">
        <v>19.100000000000001</v>
      </c>
      <c r="D195" s="10">
        <v>28.9</v>
      </c>
      <c r="E195" s="10">
        <v>99.5</v>
      </c>
      <c r="F195" s="10">
        <v>0</v>
      </c>
      <c r="G195" s="5"/>
      <c r="H195" s="10">
        <v>1</v>
      </c>
      <c r="I195" s="10">
        <v>13.4</v>
      </c>
      <c r="J195" s="10">
        <v>17.7</v>
      </c>
      <c r="K195" s="10">
        <v>30.2</v>
      </c>
      <c r="L195" s="10">
        <v>79</v>
      </c>
      <c r="M195" s="10">
        <v>1</v>
      </c>
      <c r="O195" s="10">
        <v>0</v>
      </c>
      <c r="P195" s="10">
        <v>15.7</v>
      </c>
      <c r="Q195" s="10">
        <v>19.100000000000001</v>
      </c>
      <c r="R195" s="10">
        <v>28.9</v>
      </c>
      <c r="S195" s="10">
        <v>99.5</v>
      </c>
      <c r="T195" s="10">
        <v>0</v>
      </c>
    </row>
    <row r="196" spans="1:20" x14ac:dyDescent="0.25">
      <c r="A196" s="10">
        <v>0</v>
      </c>
      <c r="B196" s="10">
        <v>14.7</v>
      </c>
      <c r="C196" s="10">
        <v>28.8</v>
      </c>
      <c r="D196" s="10">
        <v>31.7</v>
      </c>
      <c r="E196" s="10">
        <v>93.6</v>
      </c>
      <c r="F196" s="10">
        <v>0</v>
      </c>
      <c r="G196" s="5"/>
      <c r="H196" s="10">
        <v>0</v>
      </c>
      <c r="I196" s="10">
        <v>14.8</v>
      </c>
      <c r="J196" s="10">
        <v>18.8</v>
      </c>
      <c r="K196" s="10">
        <v>31.9</v>
      </c>
      <c r="L196" s="10">
        <v>77.5</v>
      </c>
      <c r="M196" s="10">
        <v>0</v>
      </c>
      <c r="O196" s="10">
        <v>0</v>
      </c>
      <c r="P196" s="10">
        <v>14.7</v>
      </c>
      <c r="Q196" s="10">
        <v>28.8</v>
      </c>
      <c r="R196" s="10">
        <v>31.7</v>
      </c>
      <c r="S196" s="10">
        <v>93.6</v>
      </c>
      <c r="T196" s="10">
        <v>0</v>
      </c>
    </row>
    <row r="197" spans="1:20" x14ac:dyDescent="0.25">
      <c r="A197" s="10">
        <v>1</v>
      </c>
      <c r="B197" s="10">
        <v>16</v>
      </c>
      <c r="C197" s="10">
        <v>20.100000000000001</v>
      </c>
      <c r="D197" s="10">
        <v>31.1</v>
      </c>
      <c r="E197" s="10">
        <v>95.5</v>
      </c>
      <c r="F197" s="10">
        <v>0</v>
      </c>
      <c r="G197" s="5"/>
      <c r="H197" s="10">
        <v>0</v>
      </c>
      <c r="I197" s="10">
        <v>12.7</v>
      </c>
      <c r="J197" s="10">
        <v>23.3</v>
      </c>
      <c r="K197" s="10">
        <v>30.3</v>
      </c>
      <c r="L197" s="10">
        <v>92.8</v>
      </c>
      <c r="M197" s="10">
        <v>0</v>
      </c>
      <c r="O197" s="10">
        <v>1</v>
      </c>
      <c r="P197" s="10">
        <v>16</v>
      </c>
      <c r="Q197" s="10">
        <v>20.100000000000001</v>
      </c>
      <c r="R197" s="10">
        <v>31.1</v>
      </c>
      <c r="S197" s="10">
        <v>95.5</v>
      </c>
      <c r="T197" s="10">
        <v>0</v>
      </c>
    </row>
    <row r="198" spans="1:20" x14ac:dyDescent="0.25">
      <c r="A198" s="10">
        <v>1</v>
      </c>
      <c r="B198" s="10">
        <v>13.7</v>
      </c>
      <c r="C198" s="10">
        <v>28.6</v>
      </c>
      <c r="D198" s="10">
        <v>32.200000000000003</v>
      </c>
      <c r="E198" s="10">
        <v>82.2</v>
      </c>
      <c r="F198" s="10">
        <v>0</v>
      </c>
      <c r="G198" s="5"/>
      <c r="H198" s="10">
        <v>0</v>
      </c>
      <c r="I198" s="10">
        <v>14.6</v>
      </c>
      <c r="J198" s="10">
        <v>26.3</v>
      </c>
      <c r="K198" s="10">
        <v>32</v>
      </c>
      <c r="L198" s="10">
        <v>90.7</v>
      </c>
      <c r="M198" s="10">
        <v>0</v>
      </c>
      <c r="O198" s="10">
        <v>1</v>
      </c>
      <c r="P198" s="10">
        <v>13.7</v>
      </c>
      <c r="Q198" s="10">
        <v>28.6</v>
      </c>
      <c r="R198" s="10">
        <v>32.200000000000003</v>
      </c>
      <c r="S198" s="10">
        <v>82.2</v>
      </c>
      <c r="T198" s="10">
        <v>0</v>
      </c>
    </row>
    <row r="199" spans="1:20" x14ac:dyDescent="0.25">
      <c r="A199" s="10">
        <v>0</v>
      </c>
      <c r="B199" s="10">
        <v>14.7</v>
      </c>
      <c r="C199" s="10">
        <v>18.3</v>
      </c>
      <c r="D199" s="10">
        <v>29.3</v>
      </c>
      <c r="E199" s="10">
        <v>75.8</v>
      </c>
      <c r="F199" s="10">
        <v>0</v>
      </c>
      <c r="G199" s="5"/>
      <c r="H199" s="10">
        <v>1</v>
      </c>
      <c r="I199" s="10">
        <v>16.399999999999999</v>
      </c>
      <c r="J199" s="10">
        <v>27.9</v>
      </c>
      <c r="K199" s="10">
        <v>29.2</v>
      </c>
      <c r="L199" s="10">
        <v>87.9</v>
      </c>
      <c r="M199" s="10">
        <v>0</v>
      </c>
      <c r="O199" s="10">
        <v>0</v>
      </c>
      <c r="P199" s="10">
        <v>14.7</v>
      </c>
      <c r="Q199" s="10">
        <v>18.3</v>
      </c>
      <c r="R199" s="10">
        <v>29.3</v>
      </c>
      <c r="S199" s="10">
        <v>75.8</v>
      </c>
      <c r="T199" s="10">
        <v>0</v>
      </c>
    </row>
    <row r="200" spans="1:20" x14ac:dyDescent="0.25">
      <c r="A200" s="10">
        <v>0</v>
      </c>
      <c r="B200" s="10">
        <v>15.4</v>
      </c>
      <c r="C200" s="10">
        <v>16.899999999999999</v>
      </c>
      <c r="D200" s="10">
        <v>28</v>
      </c>
      <c r="E200" s="10">
        <v>94.9</v>
      </c>
      <c r="F200" s="10">
        <v>0</v>
      </c>
      <c r="G200" s="5"/>
      <c r="H200" s="10">
        <v>0</v>
      </c>
      <c r="I200" s="10">
        <v>16.8</v>
      </c>
      <c r="J200" s="10">
        <v>24.3</v>
      </c>
      <c r="K200" s="10">
        <v>31.5</v>
      </c>
      <c r="L200" s="10">
        <v>92</v>
      </c>
      <c r="M200" s="10">
        <v>0</v>
      </c>
      <c r="O200" s="10">
        <v>0</v>
      </c>
      <c r="P200" s="10">
        <v>15.4</v>
      </c>
      <c r="Q200" s="10">
        <v>16.899999999999999</v>
      </c>
      <c r="R200" s="10">
        <v>28</v>
      </c>
      <c r="S200" s="10">
        <v>94.9</v>
      </c>
      <c r="T200" s="10">
        <v>0</v>
      </c>
    </row>
    <row r="201" spans="1:20" x14ac:dyDescent="0.25">
      <c r="A201" s="10">
        <v>0</v>
      </c>
      <c r="B201" s="10">
        <v>15</v>
      </c>
      <c r="C201" s="10">
        <v>27.5</v>
      </c>
      <c r="D201" s="10">
        <v>28.5</v>
      </c>
      <c r="E201" s="10">
        <v>80.3</v>
      </c>
      <c r="F201" s="10">
        <v>0</v>
      </c>
      <c r="G201" s="5"/>
      <c r="H201" s="10">
        <v>0</v>
      </c>
      <c r="I201" s="10">
        <v>13.7</v>
      </c>
      <c r="J201" s="10">
        <v>26.9</v>
      </c>
      <c r="K201" s="10">
        <v>28.1</v>
      </c>
      <c r="L201" s="10">
        <v>82.5</v>
      </c>
      <c r="M201" s="10">
        <v>0</v>
      </c>
      <c r="O201" s="10">
        <v>0</v>
      </c>
      <c r="P201" s="10">
        <v>15</v>
      </c>
      <c r="Q201" s="10">
        <v>27.5</v>
      </c>
      <c r="R201" s="10">
        <v>28.5</v>
      </c>
      <c r="S201" s="10">
        <v>80.3</v>
      </c>
      <c r="T201" s="10">
        <v>0</v>
      </c>
    </row>
    <row r="202" spans="1:20" x14ac:dyDescent="0.25">
      <c r="A202" s="10">
        <v>0</v>
      </c>
      <c r="B202" s="10">
        <v>15.6</v>
      </c>
      <c r="C202" s="10">
        <v>25.7</v>
      </c>
      <c r="D202" s="10">
        <v>31.9</v>
      </c>
      <c r="E202" s="10">
        <v>74.2</v>
      </c>
      <c r="F202" s="10">
        <v>0</v>
      </c>
      <c r="G202" s="5"/>
      <c r="H202" s="10">
        <v>0</v>
      </c>
      <c r="I202" s="10">
        <v>14.8</v>
      </c>
      <c r="J202" s="10">
        <v>26</v>
      </c>
      <c r="K202" s="10">
        <v>29.8</v>
      </c>
      <c r="L202" s="10">
        <v>73</v>
      </c>
      <c r="M202" s="10">
        <v>0</v>
      </c>
      <c r="O202" s="10">
        <v>0</v>
      </c>
      <c r="P202" s="10">
        <v>15.6</v>
      </c>
      <c r="Q202" s="10">
        <v>25.7</v>
      </c>
      <c r="R202" s="10">
        <v>31.9</v>
      </c>
      <c r="S202" s="10">
        <v>74.2</v>
      </c>
      <c r="T202" s="10">
        <v>0</v>
      </c>
    </row>
    <row r="203" spans="1:20" x14ac:dyDescent="0.25">
      <c r="A203" s="10">
        <v>1</v>
      </c>
      <c r="B203" s="10">
        <v>15.4</v>
      </c>
      <c r="C203" s="10">
        <v>24.5</v>
      </c>
      <c r="D203" s="10">
        <v>28.9</v>
      </c>
      <c r="E203" s="10">
        <v>73.599999999999994</v>
      </c>
      <c r="F203" s="10">
        <v>0</v>
      </c>
      <c r="G203" s="5"/>
      <c r="H203" s="10">
        <v>1</v>
      </c>
      <c r="I203" s="10">
        <v>13.2</v>
      </c>
      <c r="J203" s="10">
        <v>27</v>
      </c>
      <c r="K203" s="10">
        <v>31</v>
      </c>
      <c r="L203" s="10">
        <v>87.7</v>
      </c>
      <c r="M203" s="10">
        <v>1</v>
      </c>
      <c r="O203" s="10">
        <v>1</v>
      </c>
      <c r="P203" s="10">
        <v>15.4</v>
      </c>
      <c r="Q203" s="10">
        <v>24.5</v>
      </c>
      <c r="R203" s="10">
        <v>28.9</v>
      </c>
      <c r="S203" s="10">
        <v>73.599999999999994</v>
      </c>
      <c r="T203" s="10">
        <v>0</v>
      </c>
    </row>
    <row r="204" spans="1:20" x14ac:dyDescent="0.25">
      <c r="A204" s="10">
        <v>0</v>
      </c>
      <c r="B204" s="10">
        <v>15.8</v>
      </c>
      <c r="C204" s="10">
        <v>25.7</v>
      </c>
      <c r="D204" s="10">
        <v>29.7</v>
      </c>
      <c r="E204" s="10">
        <v>85.6</v>
      </c>
      <c r="F204" s="10">
        <v>0</v>
      </c>
      <c r="G204" s="5"/>
      <c r="H204" s="10">
        <v>0</v>
      </c>
      <c r="I204" s="10">
        <v>10.3</v>
      </c>
      <c r="J204" s="10">
        <v>20.100000000000001</v>
      </c>
      <c r="K204" s="10">
        <v>28.2</v>
      </c>
      <c r="L204" s="10">
        <v>86.3</v>
      </c>
      <c r="M204" s="10">
        <v>1</v>
      </c>
      <c r="O204" s="10">
        <v>0</v>
      </c>
      <c r="P204" s="10">
        <v>15.8</v>
      </c>
      <c r="Q204" s="10">
        <v>25.7</v>
      </c>
      <c r="R204" s="10">
        <v>29.7</v>
      </c>
      <c r="S204" s="10">
        <v>85.6</v>
      </c>
      <c r="T204" s="10">
        <v>0</v>
      </c>
    </row>
    <row r="205" spans="1:20" x14ac:dyDescent="0.25">
      <c r="A205" s="10">
        <v>0</v>
      </c>
      <c r="B205" s="10">
        <v>12.9</v>
      </c>
      <c r="C205" s="10">
        <v>17.3</v>
      </c>
      <c r="D205" s="10">
        <v>28.3</v>
      </c>
      <c r="E205" s="10">
        <v>81.7</v>
      </c>
      <c r="F205" s="10">
        <v>0</v>
      </c>
      <c r="G205" s="5"/>
      <c r="H205" s="10">
        <v>1</v>
      </c>
      <c r="I205" s="10">
        <v>13.5</v>
      </c>
      <c r="J205" s="10">
        <v>27.7</v>
      </c>
      <c r="K205" s="10">
        <v>31</v>
      </c>
      <c r="L205" s="10">
        <v>77.3</v>
      </c>
      <c r="M205" s="10">
        <v>0</v>
      </c>
      <c r="O205" s="10">
        <v>0</v>
      </c>
      <c r="P205" s="10">
        <v>12.9</v>
      </c>
      <c r="Q205" s="10">
        <v>17.3</v>
      </c>
      <c r="R205" s="10">
        <v>28.3</v>
      </c>
      <c r="S205" s="10">
        <v>81.7</v>
      </c>
      <c r="T205" s="10">
        <v>0</v>
      </c>
    </row>
    <row r="206" spans="1:20" x14ac:dyDescent="0.25">
      <c r="A206" s="10">
        <v>0</v>
      </c>
      <c r="B206" s="10">
        <v>12.4</v>
      </c>
      <c r="C206" s="10">
        <v>25.6</v>
      </c>
      <c r="D206" s="10">
        <v>29.6</v>
      </c>
      <c r="E206" s="10">
        <v>89.9</v>
      </c>
      <c r="F206" s="10">
        <v>0</v>
      </c>
      <c r="G206" s="5"/>
      <c r="H206" s="10">
        <v>0</v>
      </c>
      <c r="I206" s="10">
        <v>10.6</v>
      </c>
      <c r="J206" s="10">
        <v>24.5</v>
      </c>
      <c r="K206" s="10">
        <v>28.3</v>
      </c>
      <c r="L206" s="10">
        <v>81.5</v>
      </c>
      <c r="M206" s="10">
        <v>1</v>
      </c>
      <c r="O206" s="10">
        <v>0</v>
      </c>
      <c r="P206" s="10">
        <v>12.4</v>
      </c>
      <c r="Q206" s="10">
        <v>25.6</v>
      </c>
      <c r="R206" s="10">
        <v>29.6</v>
      </c>
      <c r="S206" s="10">
        <v>89.9</v>
      </c>
      <c r="T206" s="10">
        <v>0</v>
      </c>
    </row>
    <row r="207" spans="1:20" x14ac:dyDescent="0.25">
      <c r="A207" s="10">
        <v>0</v>
      </c>
      <c r="B207" s="10">
        <v>14.9</v>
      </c>
      <c r="C207" s="10">
        <v>17.600000000000001</v>
      </c>
      <c r="D207" s="10">
        <v>31.1</v>
      </c>
      <c r="E207" s="10">
        <v>86.5</v>
      </c>
      <c r="F207" s="10">
        <v>0</v>
      </c>
      <c r="G207" s="5"/>
      <c r="H207" s="10">
        <v>1</v>
      </c>
      <c r="I207" s="10">
        <v>14.8</v>
      </c>
      <c r="J207" s="10">
        <v>16.3</v>
      </c>
      <c r="K207" s="10">
        <v>27.8</v>
      </c>
      <c r="L207" s="10">
        <v>76.400000000000006</v>
      </c>
      <c r="M207" s="10">
        <v>0</v>
      </c>
      <c r="O207" s="10">
        <v>0</v>
      </c>
      <c r="P207" s="10">
        <v>14.9</v>
      </c>
      <c r="Q207" s="10">
        <v>17.600000000000001</v>
      </c>
      <c r="R207" s="10">
        <v>31.1</v>
      </c>
      <c r="S207" s="10">
        <v>86.5</v>
      </c>
      <c r="T207" s="10">
        <v>0</v>
      </c>
    </row>
    <row r="208" spans="1:20" x14ac:dyDescent="0.25">
      <c r="A208" s="10">
        <v>0</v>
      </c>
      <c r="B208" s="10">
        <v>14</v>
      </c>
      <c r="C208" s="10">
        <v>20.3</v>
      </c>
      <c r="D208" s="10">
        <v>32.1</v>
      </c>
      <c r="E208" s="10">
        <v>74</v>
      </c>
      <c r="F208" s="10">
        <v>0</v>
      </c>
      <c r="G208" s="5"/>
      <c r="H208" s="10">
        <v>1</v>
      </c>
      <c r="I208" s="10">
        <v>15.7</v>
      </c>
      <c r="J208" s="10">
        <v>27.6</v>
      </c>
      <c r="K208" s="10">
        <v>30.3</v>
      </c>
      <c r="L208" s="10">
        <v>81.599999999999994</v>
      </c>
      <c r="M208" s="10">
        <v>0</v>
      </c>
      <c r="O208" s="10">
        <v>0</v>
      </c>
      <c r="P208" s="10">
        <v>14</v>
      </c>
      <c r="Q208" s="10">
        <v>20.3</v>
      </c>
      <c r="R208" s="10">
        <v>32.1</v>
      </c>
      <c r="S208" s="10">
        <v>74</v>
      </c>
      <c r="T208" s="10">
        <v>0</v>
      </c>
    </row>
    <row r="209" spans="1:20" x14ac:dyDescent="0.25">
      <c r="A209" s="10">
        <v>0</v>
      </c>
      <c r="B209" s="10">
        <v>12.1</v>
      </c>
      <c r="C209" s="10">
        <v>26.3</v>
      </c>
      <c r="D209" s="10">
        <v>29.8</v>
      </c>
      <c r="E209" s="10">
        <v>84.9</v>
      </c>
      <c r="F209" s="10">
        <v>0</v>
      </c>
      <c r="G209" s="5"/>
      <c r="H209" s="10">
        <v>1</v>
      </c>
      <c r="I209" s="10">
        <v>11.8</v>
      </c>
      <c r="J209" s="10">
        <v>24.3</v>
      </c>
      <c r="K209" s="10">
        <v>32</v>
      </c>
      <c r="L209" s="10">
        <v>80.599999999999994</v>
      </c>
      <c r="M209" s="10">
        <v>1</v>
      </c>
      <c r="O209" s="10">
        <v>0</v>
      </c>
      <c r="P209" s="10">
        <v>12.1</v>
      </c>
      <c r="Q209" s="10">
        <v>26.3</v>
      </c>
      <c r="R209" s="10">
        <v>29.8</v>
      </c>
      <c r="S209" s="10">
        <v>84.9</v>
      </c>
      <c r="T209" s="10">
        <v>0</v>
      </c>
    </row>
    <row r="210" spans="1:20" x14ac:dyDescent="0.25">
      <c r="A210" s="10">
        <v>0</v>
      </c>
      <c r="B210" s="10">
        <v>13.5</v>
      </c>
      <c r="C210" s="10">
        <v>22.3</v>
      </c>
      <c r="D210" s="10">
        <v>29.9</v>
      </c>
      <c r="E210" s="10">
        <v>86.3</v>
      </c>
      <c r="F210" s="10">
        <v>0</v>
      </c>
      <c r="G210" s="5"/>
      <c r="H210" s="10">
        <v>1</v>
      </c>
      <c r="I210" s="10">
        <v>15.7</v>
      </c>
      <c r="J210" s="10">
        <v>27.2</v>
      </c>
      <c r="K210" s="10">
        <v>31.3</v>
      </c>
      <c r="L210" s="10">
        <v>69.400000000000006</v>
      </c>
      <c r="M210" s="10">
        <v>0</v>
      </c>
      <c r="O210" s="10">
        <v>0</v>
      </c>
      <c r="P210" s="10">
        <v>13.5</v>
      </c>
      <c r="Q210" s="10">
        <v>22.3</v>
      </c>
      <c r="R210" s="10">
        <v>29.9</v>
      </c>
      <c r="S210" s="10">
        <v>86.3</v>
      </c>
      <c r="T210" s="10">
        <v>0</v>
      </c>
    </row>
    <row r="211" spans="1:20" x14ac:dyDescent="0.25">
      <c r="A211" s="10">
        <v>1</v>
      </c>
      <c r="B211" s="10">
        <v>15.1</v>
      </c>
      <c r="C211" s="10">
        <v>17.100000000000001</v>
      </c>
      <c r="D211" s="10">
        <v>28.2</v>
      </c>
      <c r="E211" s="10">
        <v>86.8</v>
      </c>
      <c r="F211" s="10">
        <v>0</v>
      </c>
      <c r="G211" s="5"/>
      <c r="H211" s="10">
        <v>1</v>
      </c>
      <c r="I211" s="10">
        <v>11.5</v>
      </c>
      <c r="J211" s="10">
        <v>17</v>
      </c>
      <c r="K211" s="10">
        <v>30.6</v>
      </c>
      <c r="L211" s="10">
        <v>71</v>
      </c>
      <c r="M211" s="10">
        <v>1</v>
      </c>
      <c r="O211" s="10">
        <v>1</v>
      </c>
      <c r="P211" s="10">
        <v>15.1</v>
      </c>
      <c r="Q211" s="10">
        <v>17.100000000000001</v>
      </c>
      <c r="R211" s="10">
        <v>28.2</v>
      </c>
      <c r="S211" s="10">
        <v>86.8</v>
      </c>
      <c r="T211" s="10">
        <v>0</v>
      </c>
    </row>
    <row r="212" spans="1:20" x14ac:dyDescent="0.25">
      <c r="A212" s="10">
        <v>0</v>
      </c>
      <c r="B212" s="10">
        <v>14.7</v>
      </c>
      <c r="C212" s="10">
        <v>23.4</v>
      </c>
      <c r="D212" s="10">
        <v>29</v>
      </c>
      <c r="E212" s="10">
        <v>99.6</v>
      </c>
      <c r="F212" s="10">
        <v>0</v>
      </c>
      <c r="G212" s="5"/>
      <c r="H212" s="10">
        <v>1</v>
      </c>
      <c r="I212" s="10">
        <v>13</v>
      </c>
      <c r="J212" s="10">
        <v>19</v>
      </c>
      <c r="K212" s="10">
        <v>31.3</v>
      </c>
      <c r="L212" s="10">
        <v>77.3</v>
      </c>
      <c r="M212" s="10">
        <v>1</v>
      </c>
      <c r="O212" s="10">
        <v>0</v>
      </c>
      <c r="P212" s="10">
        <v>14.7</v>
      </c>
      <c r="Q212" s="10">
        <v>23.4</v>
      </c>
      <c r="R212" s="10">
        <v>29</v>
      </c>
      <c r="S212" s="10">
        <v>99.6</v>
      </c>
      <c r="T212" s="10">
        <v>0</v>
      </c>
    </row>
    <row r="213" spans="1:20" x14ac:dyDescent="0.25">
      <c r="A213" s="10">
        <v>0</v>
      </c>
      <c r="B213" s="10">
        <v>13.1</v>
      </c>
      <c r="C213" s="10">
        <v>21.8</v>
      </c>
      <c r="D213" s="10">
        <v>30.8</v>
      </c>
      <c r="E213" s="10">
        <v>90.4</v>
      </c>
      <c r="F213" s="10">
        <v>0</v>
      </c>
      <c r="G213" s="5"/>
      <c r="H213" s="10">
        <v>0</v>
      </c>
      <c r="I213" s="10">
        <v>13.1</v>
      </c>
      <c r="J213" s="10">
        <v>17.600000000000001</v>
      </c>
      <c r="K213" s="10">
        <v>28.8</v>
      </c>
      <c r="L213" s="10">
        <v>85.2</v>
      </c>
      <c r="M213" s="10">
        <v>0</v>
      </c>
      <c r="O213" s="10">
        <v>0</v>
      </c>
      <c r="P213" s="10">
        <v>13.1</v>
      </c>
      <c r="Q213" s="10">
        <v>21.8</v>
      </c>
      <c r="R213" s="10">
        <v>30.8</v>
      </c>
      <c r="S213" s="10">
        <v>90.4</v>
      </c>
      <c r="T213" s="10">
        <v>0</v>
      </c>
    </row>
    <row r="214" spans="1:20" x14ac:dyDescent="0.25">
      <c r="A214" s="10">
        <v>0</v>
      </c>
      <c r="B214" s="10">
        <v>13.5</v>
      </c>
      <c r="C214" s="10">
        <v>19.5</v>
      </c>
      <c r="D214" s="10">
        <v>32.299999999999997</v>
      </c>
      <c r="E214" s="10">
        <v>80.400000000000006</v>
      </c>
      <c r="F214" s="10">
        <v>0</v>
      </c>
      <c r="G214" s="5"/>
      <c r="H214" s="10">
        <v>1</v>
      </c>
      <c r="I214" s="10">
        <v>14.6</v>
      </c>
      <c r="J214" s="10">
        <v>27.5</v>
      </c>
      <c r="K214" s="10">
        <v>31.4</v>
      </c>
      <c r="L214" s="10">
        <v>83.6</v>
      </c>
      <c r="M214" s="10">
        <v>0</v>
      </c>
      <c r="O214" s="10">
        <v>0</v>
      </c>
      <c r="P214" s="10">
        <v>13.5</v>
      </c>
      <c r="Q214" s="10">
        <v>19.5</v>
      </c>
      <c r="R214" s="10">
        <v>32.299999999999997</v>
      </c>
      <c r="S214" s="10">
        <v>80.400000000000006</v>
      </c>
      <c r="T214" s="10">
        <v>0</v>
      </c>
    </row>
    <row r="215" spans="1:20" x14ac:dyDescent="0.25">
      <c r="A215" s="10">
        <v>0</v>
      </c>
      <c r="B215" s="10">
        <v>16.5</v>
      </c>
      <c r="C215" s="10">
        <v>28</v>
      </c>
      <c r="D215" s="10">
        <v>32.200000000000003</v>
      </c>
      <c r="E215" s="10">
        <v>99.3</v>
      </c>
      <c r="F215" s="10">
        <v>0</v>
      </c>
      <c r="G215" s="5"/>
      <c r="H215" s="10">
        <v>0</v>
      </c>
      <c r="I215" s="10">
        <v>11.2</v>
      </c>
      <c r="J215" s="10">
        <v>22.3</v>
      </c>
      <c r="K215" s="10">
        <v>29</v>
      </c>
      <c r="L215" s="10">
        <v>100.6</v>
      </c>
      <c r="M215" s="10">
        <v>1</v>
      </c>
      <c r="O215" s="10">
        <v>0</v>
      </c>
      <c r="P215" s="10">
        <v>16.5</v>
      </c>
      <c r="Q215" s="10">
        <v>28</v>
      </c>
      <c r="R215" s="10">
        <v>32.200000000000003</v>
      </c>
      <c r="S215" s="10">
        <v>99.3</v>
      </c>
      <c r="T215" s="10">
        <v>0</v>
      </c>
    </row>
    <row r="216" spans="1:20" x14ac:dyDescent="0.25">
      <c r="A216" s="10">
        <v>0</v>
      </c>
      <c r="B216" s="10">
        <v>15.2</v>
      </c>
      <c r="C216" s="10">
        <v>21.9</v>
      </c>
      <c r="D216" s="10">
        <v>29.6</v>
      </c>
      <c r="E216" s="10">
        <v>69.5</v>
      </c>
      <c r="F216" s="10">
        <v>0</v>
      </c>
      <c r="G216" s="5"/>
      <c r="H216" s="10">
        <v>0</v>
      </c>
      <c r="I216" s="10">
        <v>14.6</v>
      </c>
      <c r="J216" s="10">
        <v>17.100000000000001</v>
      </c>
      <c r="K216" s="10">
        <v>31.8</v>
      </c>
      <c r="L216" s="10">
        <v>84.6</v>
      </c>
      <c r="M216" s="10">
        <v>0</v>
      </c>
      <c r="O216" s="10">
        <v>0</v>
      </c>
      <c r="P216" s="10">
        <v>15.2</v>
      </c>
      <c r="Q216" s="10">
        <v>21.9</v>
      </c>
      <c r="R216" s="10">
        <v>29.6</v>
      </c>
      <c r="S216" s="10">
        <v>69.5</v>
      </c>
      <c r="T216" s="10">
        <v>0</v>
      </c>
    </row>
    <row r="217" spans="1:20" x14ac:dyDescent="0.25">
      <c r="A217" s="10">
        <v>1</v>
      </c>
      <c r="B217" s="10">
        <v>15.9</v>
      </c>
      <c r="C217" s="10">
        <v>22.4</v>
      </c>
      <c r="D217" s="10">
        <v>28.9</v>
      </c>
      <c r="E217" s="10">
        <v>93</v>
      </c>
      <c r="F217" s="10">
        <v>0</v>
      </c>
      <c r="G217" s="5"/>
      <c r="H217" s="10">
        <v>0</v>
      </c>
      <c r="I217" s="10">
        <v>16.3</v>
      </c>
      <c r="J217" s="10">
        <v>16.399999999999999</v>
      </c>
      <c r="K217" s="10">
        <v>27.8</v>
      </c>
      <c r="L217" s="10">
        <v>88.7</v>
      </c>
      <c r="M217" s="10">
        <v>0</v>
      </c>
      <c r="O217" s="10">
        <v>1</v>
      </c>
      <c r="P217" s="10">
        <v>15.9</v>
      </c>
      <c r="Q217" s="10">
        <v>22.4</v>
      </c>
      <c r="R217" s="10">
        <v>28.9</v>
      </c>
      <c r="S217" s="10">
        <v>93</v>
      </c>
      <c r="T217" s="10">
        <v>0</v>
      </c>
    </row>
    <row r="218" spans="1:20" x14ac:dyDescent="0.25">
      <c r="A218" s="10">
        <v>0</v>
      </c>
      <c r="B218" s="10">
        <v>14.5</v>
      </c>
      <c r="C218" s="10">
        <v>24.2</v>
      </c>
      <c r="D218" s="10">
        <v>27.9</v>
      </c>
      <c r="E218" s="10">
        <v>71.7</v>
      </c>
      <c r="F218" s="10">
        <v>0</v>
      </c>
      <c r="G218" s="5"/>
      <c r="H218" s="10">
        <v>1</v>
      </c>
      <c r="I218" s="10">
        <v>14.7</v>
      </c>
      <c r="J218" s="10">
        <v>26.6</v>
      </c>
      <c r="K218" s="10">
        <v>28.3</v>
      </c>
      <c r="L218" s="10">
        <v>88.6</v>
      </c>
      <c r="M218" s="10">
        <v>0</v>
      </c>
      <c r="O218" s="10">
        <v>0</v>
      </c>
      <c r="P218" s="10">
        <v>14.5</v>
      </c>
      <c r="Q218" s="10">
        <v>24.2</v>
      </c>
      <c r="R218" s="10">
        <v>27.9</v>
      </c>
      <c r="S218" s="10">
        <v>71.7</v>
      </c>
      <c r="T218" s="10">
        <v>0</v>
      </c>
    </row>
    <row r="219" spans="1:20" x14ac:dyDescent="0.25">
      <c r="A219" s="10">
        <v>0</v>
      </c>
      <c r="B219" s="10">
        <v>13.4</v>
      </c>
      <c r="C219" s="10">
        <v>25.3</v>
      </c>
      <c r="D219" s="10">
        <v>28.6</v>
      </c>
      <c r="E219" s="10">
        <v>83.8</v>
      </c>
      <c r="F219" s="10">
        <v>0</v>
      </c>
      <c r="G219" s="5"/>
      <c r="H219" s="10">
        <v>0</v>
      </c>
      <c r="I219" s="10">
        <v>16</v>
      </c>
      <c r="J219" s="10">
        <v>24.9</v>
      </c>
      <c r="K219" s="10">
        <v>28.3</v>
      </c>
      <c r="L219" s="10">
        <v>100</v>
      </c>
      <c r="M219" s="10">
        <v>0</v>
      </c>
      <c r="O219" s="10">
        <v>0</v>
      </c>
      <c r="P219" s="10">
        <v>13.4</v>
      </c>
      <c r="Q219" s="10">
        <v>25.3</v>
      </c>
      <c r="R219" s="10">
        <v>28.6</v>
      </c>
      <c r="S219" s="10">
        <v>83.8</v>
      </c>
      <c r="T219" s="10">
        <v>0</v>
      </c>
    </row>
    <row r="220" spans="1:20" x14ac:dyDescent="0.25">
      <c r="A220" s="10">
        <v>1</v>
      </c>
      <c r="B220" s="10">
        <v>16.399999999999999</v>
      </c>
      <c r="C220" s="10">
        <v>27.4</v>
      </c>
      <c r="D220" s="10">
        <v>31.9</v>
      </c>
      <c r="E220" s="10">
        <v>100.2</v>
      </c>
      <c r="F220" s="10">
        <v>0</v>
      </c>
      <c r="G220" s="5"/>
      <c r="H220" s="10">
        <v>1</v>
      </c>
      <c r="I220" s="10">
        <v>11</v>
      </c>
      <c r="J220" s="10">
        <v>29.5</v>
      </c>
      <c r="K220" s="10">
        <v>30.7</v>
      </c>
      <c r="L220" s="10">
        <v>72.599999999999994</v>
      </c>
      <c r="M220" s="10">
        <v>1</v>
      </c>
      <c r="O220" s="10">
        <v>1</v>
      </c>
      <c r="P220" s="10">
        <v>16.399999999999999</v>
      </c>
      <c r="Q220" s="10">
        <v>27.4</v>
      </c>
      <c r="R220" s="10">
        <v>31.9</v>
      </c>
      <c r="S220" s="10">
        <v>100.2</v>
      </c>
      <c r="T220" s="10">
        <v>0</v>
      </c>
    </row>
    <row r="221" spans="1:20" x14ac:dyDescent="0.25">
      <c r="A221" s="10">
        <v>1</v>
      </c>
      <c r="B221" s="10">
        <v>14.6</v>
      </c>
      <c r="C221" s="10">
        <v>24.1</v>
      </c>
      <c r="D221" s="10">
        <v>30.7</v>
      </c>
      <c r="E221" s="10">
        <v>98.1</v>
      </c>
      <c r="F221" s="10">
        <v>0</v>
      </c>
      <c r="G221" s="5"/>
      <c r="H221" s="10">
        <v>1</v>
      </c>
      <c r="I221" s="10">
        <v>16.600000000000001</v>
      </c>
      <c r="J221" s="10">
        <v>22.7</v>
      </c>
      <c r="K221" s="10">
        <v>28.2</v>
      </c>
      <c r="L221" s="10">
        <v>87</v>
      </c>
      <c r="M221" s="10">
        <v>0</v>
      </c>
      <c r="O221" s="10">
        <v>1</v>
      </c>
      <c r="P221" s="10">
        <v>14.6</v>
      </c>
      <c r="Q221" s="10">
        <v>24.1</v>
      </c>
      <c r="R221" s="10">
        <v>30.7</v>
      </c>
      <c r="S221" s="10">
        <v>98.1</v>
      </c>
      <c r="T221" s="10">
        <v>0</v>
      </c>
    </row>
    <row r="222" spans="1:20" x14ac:dyDescent="0.25">
      <c r="A222" s="10">
        <v>1</v>
      </c>
      <c r="B222" s="10">
        <v>13.8</v>
      </c>
      <c r="C222" s="10">
        <v>21.4</v>
      </c>
      <c r="D222" s="10">
        <v>29.9</v>
      </c>
      <c r="E222" s="10">
        <v>88.4</v>
      </c>
      <c r="F222" s="10">
        <v>0</v>
      </c>
      <c r="G222" s="5"/>
      <c r="H222" s="10">
        <v>1</v>
      </c>
      <c r="I222" s="10">
        <v>11.4</v>
      </c>
      <c r="J222" s="10">
        <v>17.600000000000001</v>
      </c>
      <c r="K222" s="10">
        <v>30.2</v>
      </c>
      <c r="L222" s="10">
        <v>70</v>
      </c>
      <c r="M222" s="10">
        <v>1</v>
      </c>
      <c r="O222" s="10">
        <v>1</v>
      </c>
      <c r="P222" s="10">
        <v>13.8</v>
      </c>
      <c r="Q222" s="10">
        <v>21.4</v>
      </c>
      <c r="R222" s="10">
        <v>29.9</v>
      </c>
      <c r="S222" s="10">
        <v>88.4</v>
      </c>
      <c r="T222" s="10">
        <v>0</v>
      </c>
    </row>
    <row r="223" spans="1:20" x14ac:dyDescent="0.25">
      <c r="A223" s="10">
        <v>1</v>
      </c>
      <c r="B223" s="10">
        <v>16.600000000000001</v>
      </c>
      <c r="C223" s="10">
        <v>22</v>
      </c>
      <c r="D223" s="10">
        <v>29.5</v>
      </c>
      <c r="E223" s="10">
        <v>71</v>
      </c>
      <c r="F223" s="10">
        <v>0</v>
      </c>
      <c r="G223" s="5"/>
      <c r="H223" s="10">
        <v>1</v>
      </c>
      <c r="I223" s="10">
        <v>15.4</v>
      </c>
      <c r="J223" s="10">
        <v>23.4</v>
      </c>
      <c r="K223" s="10">
        <v>32.4</v>
      </c>
      <c r="L223" s="10">
        <v>92.9</v>
      </c>
      <c r="M223" s="10">
        <v>0</v>
      </c>
      <c r="O223" s="10">
        <v>1</v>
      </c>
      <c r="P223" s="10">
        <v>16.600000000000001</v>
      </c>
      <c r="Q223" s="10">
        <v>22</v>
      </c>
      <c r="R223" s="10">
        <v>29.5</v>
      </c>
      <c r="S223" s="10">
        <v>71</v>
      </c>
      <c r="T223" s="10">
        <v>0</v>
      </c>
    </row>
    <row r="224" spans="1:20" x14ac:dyDescent="0.25">
      <c r="A224" s="10">
        <v>0</v>
      </c>
      <c r="B224" s="10">
        <v>16.8</v>
      </c>
      <c r="C224" s="10">
        <v>27.4</v>
      </c>
      <c r="D224" s="10">
        <v>32.4</v>
      </c>
      <c r="E224" s="10">
        <v>97.7</v>
      </c>
      <c r="F224" s="10">
        <v>0</v>
      </c>
      <c r="G224" s="5"/>
      <c r="H224" s="10">
        <v>0</v>
      </c>
      <c r="I224" s="10">
        <v>11.1</v>
      </c>
      <c r="J224" s="10">
        <v>18.3</v>
      </c>
      <c r="K224" s="10">
        <v>28.5</v>
      </c>
      <c r="L224" s="10">
        <v>73.3</v>
      </c>
      <c r="M224" s="10">
        <v>1</v>
      </c>
      <c r="O224" s="10">
        <v>0</v>
      </c>
      <c r="P224" s="10">
        <v>16.8</v>
      </c>
      <c r="Q224" s="10">
        <v>27.4</v>
      </c>
      <c r="R224" s="10">
        <v>32.4</v>
      </c>
      <c r="S224" s="10">
        <v>97.7</v>
      </c>
      <c r="T224" s="10">
        <v>0</v>
      </c>
    </row>
    <row r="225" spans="1:20" x14ac:dyDescent="0.25">
      <c r="A225" s="10">
        <v>1</v>
      </c>
      <c r="B225" s="10">
        <v>14.3</v>
      </c>
      <c r="C225" s="10">
        <v>21.4</v>
      </c>
      <c r="D225" s="10">
        <v>31.2</v>
      </c>
      <c r="E225" s="10">
        <v>88.5</v>
      </c>
      <c r="F225" s="10">
        <v>0</v>
      </c>
      <c r="G225" s="5"/>
      <c r="H225" s="10">
        <v>0</v>
      </c>
      <c r="I225" s="10">
        <v>15.5</v>
      </c>
      <c r="J225" s="10">
        <v>17.399999999999999</v>
      </c>
      <c r="K225" s="10">
        <v>28.5</v>
      </c>
      <c r="L225" s="10">
        <v>78.900000000000006</v>
      </c>
      <c r="M225" s="10">
        <v>0</v>
      </c>
      <c r="O225" s="10">
        <v>1</v>
      </c>
      <c r="P225" s="10">
        <v>14.3</v>
      </c>
      <c r="Q225" s="10">
        <v>21.4</v>
      </c>
      <c r="R225" s="10">
        <v>31.2</v>
      </c>
      <c r="S225" s="10">
        <v>88.5</v>
      </c>
      <c r="T225" s="10">
        <v>0</v>
      </c>
    </row>
    <row r="226" spans="1:20" x14ac:dyDescent="0.25">
      <c r="A226" s="10">
        <v>0</v>
      </c>
      <c r="B226" s="10">
        <v>12.6</v>
      </c>
      <c r="C226" s="10">
        <v>16.5</v>
      </c>
      <c r="D226" s="10">
        <v>28.9</v>
      </c>
      <c r="E226" s="10">
        <v>97.5</v>
      </c>
      <c r="F226" s="10">
        <v>0</v>
      </c>
      <c r="G226" s="5"/>
      <c r="H226" s="10">
        <v>0</v>
      </c>
      <c r="I226" s="10">
        <v>10.4</v>
      </c>
      <c r="J226" s="10">
        <v>18.600000000000001</v>
      </c>
      <c r="K226" s="10">
        <v>29.1</v>
      </c>
      <c r="L226" s="10">
        <v>79.2</v>
      </c>
      <c r="M226" s="10">
        <v>1</v>
      </c>
      <c r="O226" s="10">
        <v>0</v>
      </c>
      <c r="P226" s="10">
        <v>12.6</v>
      </c>
      <c r="Q226" s="10">
        <v>16.5</v>
      </c>
      <c r="R226" s="10">
        <v>28.9</v>
      </c>
      <c r="S226" s="10">
        <v>97.5</v>
      </c>
      <c r="T226" s="10">
        <v>0</v>
      </c>
    </row>
    <row r="227" spans="1:20" x14ac:dyDescent="0.25">
      <c r="A227" s="10">
        <v>0</v>
      </c>
      <c r="B227" s="10">
        <v>16.8</v>
      </c>
      <c r="C227" s="10">
        <v>27.3</v>
      </c>
      <c r="D227" s="10">
        <v>28.9</v>
      </c>
      <c r="E227" s="10">
        <v>70.8</v>
      </c>
      <c r="F227" s="10">
        <v>0</v>
      </c>
      <c r="G227" s="5"/>
      <c r="H227" s="10">
        <v>0</v>
      </c>
      <c r="I227" s="10">
        <v>10.5</v>
      </c>
      <c r="J227" s="10">
        <v>18.8</v>
      </c>
      <c r="K227" s="10">
        <v>29.1</v>
      </c>
      <c r="L227" s="10">
        <v>80.599999999999994</v>
      </c>
      <c r="M227" s="10">
        <v>1</v>
      </c>
      <c r="O227" s="10">
        <v>0</v>
      </c>
      <c r="P227" s="10">
        <v>16.8</v>
      </c>
      <c r="Q227" s="10">
        <v>27.3</v>
      </c>
      <c r="R227" s="10">
        <v>28.9</v>
      </c>
      <c r="S227" s="10">
        <v>70.8</v>
      </c>
      <c r="T227" s="10">
        <v>0</v>
      </c>
    </row>
    <row r="228" spans="1:20" x14ac:dyDescent="0.25">
      <c r="A228" s="10">
        <v>1</v>
      </c>
      <c r="B228" s="10">
        <v>15.9</v>
      </c>
      <c r="C228" s="10">
        <v>18.2</v>
      </c>
      <c r="D228" s="10">
        <v>30.3</v>
      </c>
      <c r="E228" s="10">
        <v>82.7</v>
      </c>
      <c r="F228" s="10">
        <v>0</v>
      </c>
      <c r="G228" s="5"/>
      <c r="H228" s="10">
        <v>1</v>
      </c>
      <c r="I228" s="10">
        <v>16.7</v>
      </c>
      <c r="J228" s="10">
        <v>23.5</v>
      </c>
      <c r="K228" s="10">
        <v>28.1</v>
      </c>
      <c r="L228" s="10">
        <v>76.900000000000006</v>
      </c>
      <c r="M228" s="10">
        <v>0</v>
      </c>
      <c r="O228" s="10">
        <v>1</v>
      </c>
      <c r="P228" s="10">
        <v>15.9</v>
      </c>
      <c r="Q228" s="10">
        <v>18.2</v>
      </c>
      <c r="R228" s="10">
        <v>30.3</v>
      </c>
      <c r="S228" s="10">
        <v>82.7</v>
      </c>
      <c r="T228" s="10">
        <v>0</v>
      </c>
    </row>
    <row r="229" spans="1:20" x14ac:dyDescent="0.25">
      <c r="A229" s="10">
        <v>1</v>
      </c>
      <c r="B229" s="10">
        <v>16.100000000000001</v>
      </c>
      <c r="C229" s="10">
        <v>26.1</v>
      </c>
      <c r="D229" s="10">
        <v>31.4</v>
      </c>
      <c r="E229" s="10">
        <v>93.7</v>
      </c>
      <c r="F229" s="10">
        <v>0</v>
      </c>
      <c r="G229" s="5"/>
      <c r="H229" s="10">
        <v>0</v>
      </c>
      <c r="I229" s="10">
        <v>15.3</v>
      </c>
      <c r="J229" s="10">
        <v>29.3</v>
      </c>
      <c r="K229" s="10">
        <v>28.9</v>
      </c>
      <c r="L229" s="10">
        <v>88.3</v>
      </c>
      <c r="M229" s="10">
        <v>0</v>
      </c>
      <c r="O229" s="10">
        <v>1</v>
      </c>
      <c r="P229" s="10">
        <v>16.100000000000001</v>
      </c>
      <c r="Q229" s="10">
        <v>26.1</v>
      </c>
      <c r="R229" s="10">
        <v>31.4</v>
      </c>
      <c r="S229" s="10">
        <v>93.7</v>
      </c>
      <c r="T229" s="10">
        <v>0</v>
      </c>
    </row>
    <row r="230" spans="1:20" x14ac:dyDescent="0.25">
      <c r="A230" s="10">
        <v>0</v>
      </c>
      <c r="B230" s="10">
        <v>14.5</v>
      </c>
      <c r="C230" s="10">
        <v>27.4</v>
      </c>
      <c r="D230" s="10">
        <v>28.4</v>
      </c>
      <c r="E230" s="10">
        <v>78.400000000000006</v>
      </c>
      <c r="F230" s="10">
        <v>0</v>
      </c>
      <c r="G230" s="5"/>
      <c r="H230" s="10">
        <v>1</v>
      </c>
      <c r="I230" s="10">
        <v>16.3</v>
      </c>
      <c r="J230" s="10">
        <v>26.7</v>
      </c>
      <c r="K230" s="10">
        <v>29.9</v>
      </c>
      <c r="L230" s="10">
        <v>84.1</v>
      </c>
      <c r="M230" s="10">
        <v>0</v>
      </c>
      <c r="O230" s="10">
        <v>0</v>
      </c>
      <c r="P230" s="10">
        <v>14.5</v>
      </c>
      <c r="Q230" s="10">
        <v>27.4</v>
      </c>
      <c r="R230" s="10">
        <v>28.4</v>
      </c>
      <c r="S230" s="10">
        <v>78.400000000000006</v>
      </c>
      <c r="T230" s="10">
        <v>0</v>
      </c>
    </row>
    <row r="231" spans="1:20" x14ac:dyDescent="0.25">
      <c r="A231" s="10">
        <v>1</v>
      </c>
      <c r="B231" s="10">
        <v>16.2</v>
      </c>
      <c r="C231" s="10">
        <v>17.899999999999999</v>
      </c>
      <c r="D231" s="10">
        <v>27.8</v>
      </c>
      <c r="E231" s="10">
        <v>74.3</v>
      </c>
      <c r="F231" s="10">
        <v>0</v>
      </c>
      <c r="G231" s="5"/>
      <c r="H231" s="10">
        <v>0</v>
      </c>
      <c r="I231" s="10">
        <v>14.6</v>
      </c>
      <c r="J231" s="10">
        <v>28.9</v>
      </c>
      <c r="K231" s="10">
        <v>28.5</v>
      </c>
      <c r="L231" s="10">
        <v>74.2</v>
      </c>
      <c r="M231" s="10">
        <v>0</v>
      </c>
      <c r="O231" s="10">
        <v>1</v>
      </c>
      <c r="P231" s="10">
        <v>16.2</v>
      </c>
      <c r="Q231" s="10">
        <v>17.899999999999999</v>
      </c>
      <c r="R231" s="10">
        <v>27.8</v>
      </c>
      <c r="S231" s="10">
        <v>74.3</v>
      </c>
      <c r="T231" s="10">
        <v>0</v>
      </c>
    </row>
    <row r="232" spans="1:20" x14ac:dyDescent="0.25">
      <c r="A232" s="10">
        <v>0</v>
      </c>
      <c r="B232" s="10">
        <v>16.2</v>
      </c>
      <c r="C232" s="10">
        <v>25.1</v>
      </c>
      <c r="D232" s="10">
        <v>29.9</v>
      </c>
      <c r="E232" s="10">
        <v>81.599999999999994</v>
      </c>
      <c r="F232" s="10">
        <v>0</v>
      </c>
      <c r="G232" s="5"/>
      <c r="H232" s="10">
        <v>0</v>
      </c>
      <c r="I232" s="10">
        <v>13.4</v>
      </c>
      <c r="J232" s="10">
        <v>22</v>
      </c>
      <c r="K232" s="10">
        <v>30.8</v>
      </c>
      <c r="L232" s="10">
        <v>79.7</v>
      </c>
      <c r="M232" s="10">
        <v>0</v>
      </c>
      <c r="O232" s="10">
        <v>0</v>
      </c>
      <c r="P232" s="10">
        <v>16.2</v>
      </c>
      <c r="Q232" s="10">
        <v>25.1</v>
      </c>
      <c r="R232" s="10">
        <v>29.9</v>
      </c>
      <c r="S232" s="10">
        <v>81.599999999999994</v>
      </c>
      <c r="T232" s="10">
        <v>0</v>
      </c>
    </row>
    <row r="233" spans="1:20" x14ac:dyDescent="0.25">
      <c r="A233" s="10">
        <v>1</v>
      </c>
      <c r="B233" s="10">
        <v>15</v>
      </c>
      <c r="C233" s="10">
        <v>20.8</v>
      </c>
      <c r="D233" s="10">
        <v>32.299999999999997</v>
      </c>
      <c r="E233" s="10">
        <v>88.7</v>
      </c>
      <c r="F233" s="10">
        <v>0</v>
      </c>
      <c r="G233" s="5"/>
      <c r="H233" s="10">
        <v>1</v>
      </c>
      <c r="I233" s="10">
        <v>14.8</v>
      </c>
      <c r="J233" s="10">
        <v>28.8</v>
      </c>
      <c r="K233" s="10">
        <v>29.6</v>
      </c>
      <c r="L233" s="10">
        <v>84.9</v>
      </c>
      <c r="M233" s="10">
        <v>0</v>
      </c>
      <c r="O233" s="10">
        <v>0</v>
      </c>
      <c r="P233" s="10">
        <v>9</v>
      </c>
      <c r="Q233" s="10">
        <v>21.5</v>
      </c>
      <c r="R233" s="10">
        <v>29.6</v>
      </c>
      <c r="S233" s="10">
        <v>71.2</v>
      </c>
      <c r="T233" s="10">
        <v>1</v>
      </c>
    </row>
    <row r="234" spans="1:20" x14ac:dyDescent="0.25">
      <c r="A234" s="10">
        <v>0</v>
      </c>
      <c r="B234" s="10">
        <v>16.399999999999999</v>
      </c>
      <c r="C234" s="10">
        <v>27.2</v>
      </c>
      <c r="D234" s="10">
        <v>31.4</v>
      </c>
      <c r="E234" s="10">
        <v>70.599999999999994</v>
      </c>
      <c r="F234" s="10">
        <v>0</v>
      </c>
      <c r="G234" s="5"/>
      <c r="H234" s="10">
        <v>1</v>
      </c>
      <c r="I234" s="10">
        <v>16</v>
      </c>
      <c r="J234" s="10">
        <v>28.1</v>
      </c>
      <c r="K234" s="10">
        <v>31.6</v>
      </c>
      <c r="L234" s="10">
        <v>94.6</v>
      </c>
      <c r="M234" s="10">
        <v>0</v>
      </c>
      <c r="O234" s="10">
        <v>0</v>
      </c>
      <c r="P234" s="10">
        <v>11.6</v>
      </c>
      <c r="Q234" s="10">
        <v>22.3</v>
      </c>
      <c r="R234" s="10">
        <v>30.9</v>
      </c>
      <c r="S234" s="10">
        <v>74.5</v>
      </c>
      <c r="T234" s="10">
        <v>1</v>
      </c>
    </row>
    <row r="235" spans="1:20" x14ac:dyDescent="0.25">
      <c r="A235" s="10">
        <v>0</v>
      </c>
      <c r="B235" s="10">
        <v>15.5</v>
      </c>
      <c r="C235" s="10">
        <v>19.3</v>
      </c>
      <c r="D235" s="10">
        <v>32.5</v>
      </c>
      <c r="E235" s="10">
        <v>97.5</v>
      </c>
      <c r="F235" s="10">
        <v>0</v>
      </c>
      <c r="G235" s="5"/>
      <c r="H235" s="10">
        <v>1</v>
      </c>
      <c r="I235" s="10">
        <v>16.600000000000001</v>
      </c>
      <c r="J235" s="10">
        <v>29.1</v>
      </c>
      <c r="K235" s="10">
        <v>29.9</v>
      </c>
      <c r="L235" s="10">
        <v>76.400000000000006</v>
      </c>
      <c r="M235" s="10">
        <v>0</v>
      </c>
      <c r="O235" s="10">
        <v>1</v>
      </c>
      <c r="P235" s="10">
        <v>12.7</v>
      </c>
      <c r="Q235" s="10">
        <v>19.5</v>
      </c>
      <c r="R235" s="10">
        <v>28.9</v>
      </c>
      <c r="S235" s="10">
        <v>82.9</v>
      </c>
      <c r="T235" s="10">
        <v>1</v>
      </c>
    </row>
    <row r="236" spans="1:20" x14ac:dyDescent="0.25">
      <c r="A236" s="10">
        <v>0</v>
      </c>
      <c r="B236" s="10">
        <v>13.3</v>
      </c>
      <c r="C236" s="10">
        <v>19.100000000000001</v>
      </c>
      <c r="D236" s="10">
        <v>30.9</v>
      </c>
      <c r="E236" s="10">
        <v>97.9</v>
      </c>
      <c r="F236" s="10">
        <v>0</v>
      </c>
      <c r="G236" s="5"/>
      <c r="H236" s="10">
        <v>0</v>
      </c>
      <c r="I236" s="10">
        <v>15.6</v>
      </c>
      <c r="J236" s="10">
        <v>28.8</v>
      </c>
      <c r="K236" s="10">
        <v>30.8</v>
      </c>
      <c r="L236" s="10">
        <v>86.4</v>
      </c>
      <c r="M236" s="10">
        <v>0</v>
      </c>
      <c r="O236" s="10">
        <v>1</v>
      </c>
      <c r="P236" s="10">
        <v>12.7</v>
      </c>
      <c r="Q236" s="10">
        <v>28.5</v>
      </c>
      <c r="R236" s="10">
        <v>28.2</v>
      </c>
      <c r="S236" s="10">
        <v>92.3</v>
      </c>
      <c r="T236" s="10">
        <v>1</v>
      </c>
    </row>
    <row r="237" spans="1:20" x14ac:dyDescent="0.25">
      <c r="A237" s="10">
        <v>1</v>
      </c>
      <c r="B237" s="10">
        <v>16.100000000000001</v>
      </c>
      <c r="C237" s="10">
        <v>21.9</v>
      </c>
      <c r="D237" s="10">
        <v>32.5</v>
      </c>
      <c r="E237" s="10">
        <v>100.7</v>
      </c>
      <c r="F237" s="10">
        <v>0</v>
      </c>
      <c r="G237" s="5"/>
      <c r="H237" s="10">
        <v>1</v>
      </c>
      <c r="I237" s="10">
        <v>16.7</v>
      </c>
      <c r="J237" s="10">
        <v>20.100000000000001</v>
      </c>
      <c r="K237" s="10">
        <v>31.4</v>
      </c>
      <c r="L237" s="10">
        <v>73</v>
      </c>
      <c r="M237" s="10">
        <v>0</v>
      </c>
      <c r="O237" s="10">
        <v>1</v>
      </c>
      <c r="P237" s="10">
        <v>13</v>
      </c>
      <c r="Q237" s="10">
        <v>18.3</v>
      </c>
      <c r="R237" s="10">
        <v>29.6</v>
      </c>
      <c r="S237" s="10">
        <v>87.8</v>
      </c>
      <c r="T237" s="10">
        <v>1</v>
      </c>
    </row>
    <row r="238" spans="1:20" x14ac:dyDescent="0.25">
      <c r="A238" s="10">
        <v>0</v>
      </c>
      <c r="B238" s="10">
        <v>15.8</v>
      </c>
      <c r="C238" s="10">
        <v>25.5</v>
      </c>
      <c r="D238" s="10">
        <v>28.9</v>
      </c>
      <c r="E238" s="10">
        <v>72.599999999999994</v>
      </c>
      <c r="F238" s="10">
        <v>0</v>
      </c>
      <c r="G238" s="5"/>
      <c r="H238" s="10">
        <v>1</v>
      </c>
      <c r="I238" s="10">
        <v>10.7</v>
      </c>
      <c r="J238" s="10">
        <v>20</v>
      </c>
      <c r="K238" s="10">
        <v>29.1</v>
      </c>
      <c r="L238" s="10">
        <v>79.3</v>
      </c>
      <c r="M238" s="10">
        <v>1</v>
      </c>
      <c r="O238" s="10">
        <v>1</v>
      </c>
      <c r="P238" s="10">
        <v>12.3</v>
      </c>
      <c r="Q238" s="10">
        <v>21.8</v>
      </c>
      <c r="R238" s="10">
        <v>27.8</v>
      </c>
      <c r="S238" s="10">
        <v>77.900000000000006</v>
      </c>
      <c r="T238" s="10">
        <v>1</v>
      </c>
    </row>
    <row r="239" spans="1:20" x14ac:dyDescent="0.25">
      <c r="A239" s="10">
        <v>1</v>
      </c>
      <c r="B239" s="10">
        <v>16.8</v>
      </c>
      <c r="C239" s="10">
        <v>22.7</v>
      </c>
      <c r="D239" s="10">
        <v>32</v>
      </c>
      <c r="E239" s="10">
        <v>94.3</v>
      </c>
      <c r="F239" s="10">
        <v>0</v>
      </c>
      <c r="G239" s="5"/>
      <c r="H239" s="10">
        <v>0</v>
      </c>
      <c r="I239" s="10">
        <v>15.4</v>
      </c>
      <c r="J239" s="10">
        <v>21.5</v>
      </c>
      <c r="K239" s="10">
        <v>29.6</v>
      </c>
      <c r="L239" s="10">
        <v>71.2</v>
      </c>
      <c r="M239" s="10">
        <v>0</v>
      </c>
      <c r="O239" s="10">
        <v>0</v>
      </c>
      <c r="P239" s="10">
        <v>6.9</v>
      </c>
      <c r="Q239" s="10">
        <v>28.1</v>
      </c>
      <c r="R239" s="10">
        <v>32.5</v>
      </c>
      <c r="S239" s="10">
        <v>94.6</v>
      </c>
      <c r="T239" s="10">
        <v>1</v>
      </c>
    </row>
    <row r="240" spans="1:20" x14ac:dyDescent="0.25">
      <c r="A240" s="10">
        <v>0</v>
      </c>
      <c r="B240" s="10">
        <v>12.5</v>
      </c>
      <c r="C240" s="10">
        <v>29.7</v>
      </c>
      <c r="D240" s="10">
        <v>30.6</v>
      </c>
      <c r="E240" s="10">
        <v>90.5</v>
      </c>
      <c r="F240" s="10">
        <v>0</v>
      </c>
      <c r="G240" s="5"/>
      <c r="H240" s="10">
        <v>1</v>
      </c>
      <c r="I240" s="10">
        <v>12.6</v>
      </c>
      <c r="J240" s="10">
        <v>22</v>
      </c>
      <c r="K240" s="10">
        <v>28.2</v>
      </c>
      <c r="L240" s="10">
        <v>99.5</v>
      </c>
      <c r="M240" s="10">
        <v>1</v>
      </c>
      <c r="O240" s="10">
        <v>1</v>
      </c>
      <c r="P240" s="10">
        <v>11.8</v>
      </c>
      <c r="Q240" s="10">
        <v>16.3</v>
      </c>
      <c r="R240" s="10">
        <v>30.9</v>
      </c>
      <c r="S240" s="10">
        <v>78.7</v>
      </c>
      <c r="T240" s="10">
        <v>1</v>
      </c>
    </row>
    <row r="241" spans="1:20" x14ac:dyDescent="0.25">
      <c r="A241" s="10">
        <v>1</v>
      </c>
      <c r="B241" s="10">
        <v>14.8</v>
      </c>
      <c r="C241" s="10">
        <v>29.6</v>
      </c>
      <c r="D241" s="10">
        <v>31.7</v>
      </c>
      <c r="E241" s="10">
        <v>91.6</v>
      </c>
      <c r="F241" s="10">
        <v>0</v>
      </c>
      <c r="G241" s="5"/>
      <c r="H241" s="10">
        <v>1</v>
      </c>
      <c r="I241" s="10">
        <v>15.9</v>
      </c>
      <c r="J241" s="10">
        <v>18.3</v>
      </c>
      <c r="K241" s="10">
        <v>29.6</v>
      </c>
      <c r="L241" s="10">
        <v>87.8</v>
      </c>
      <c r="M241" s="10">
        <v>0</v>
      </c>
      <c r="O241" s="10">
        <v>1</v>
      </c>
      <c r="P241" s="10">
        <v>11</v>
      </c>
      <c r="Q241" s="10">
        <v>26</v>
      </c>
      <c r="R241" s="10">
        <v>32.200000000000003</v>
      </c>
      <c r="S241" s="10">
        <v>98.9</v>
      </c>
      <c r="T241" s="10">
        <v>1</v>
      </c>
    </row>
    <row r="242" spans="1:20" x14ac:dyDescent="0.25">
      <c r="A242" s="10">
        <v>0</v>
      </c>
      <c r="B242" s="10">
        <v>14.8</v>
      </c>
      <c r="C242" s="10">
        <v>16.2</v>
      </c>
      <c r="D242" s="10">
        <v>28.9</v>
      </c>
      <c r="E242" s="10">
        <v>75.8</v>
      </c>
      <c r="F242" s="10">
        <v>0</v>
      </c>
      <c r="G242" s="5"/>
      <c r="H242" s="10">
        <v>0</v>
      </c>
      <c r="I242" s="10">
        <v>10.8</v>
      </c>
      <c r="J242" s="10">
        <v>27.5</v>
      </c>
      <c r="K242" s="10">
        <v>28.2</v>
      </c>
      <c r="L242" s="10">
        <v>93</v>
      </c>
      <c r="M242" s="10">
        <v>1</v>
      </c>
      <c r="O242" s="10">
        <v>1</v>
      </c>
      <c r="P242" s="10">
        <v>11</v>
      </c>
      <c r="Q242" s="10">
        <v>25.2</v>
      </c>
      <c r="R242" s="10">
        <v>30.9</v>
      </c>
      <c r="S242" s="10">
        <v>83.2</v>
      </c>
      <c r="T242" s="10">
        <v>1</v>
      </c>
    </row>
    <row r="243" spans="1:20" x14ac:dyDescent="0.25">
      <c r="A243" s="10">
        <v>1</v>
      </c>
      <c r="B243" s="10">
        <v>15.5</v>
      </c>
      <c r="C243" s="10">
        <v>23.1</v>
      </c>
      <c r="D243" s="10">
        <v>29.1</v>
      </c>
      <c r="E243" s="10">
        <v>72.900000000000006</v>
      </c>
      <c r="F243" s="10">
        <v>0</v>
      </c>
      <c r="G243" s="5"/>
      <c r="H243" s="10">
        <v>0</v>
      </c>
      <c r="I243" s="10">
        <v>15.2</v>
      </c>
      <c r="J243" s="10">
        <v>28.1</v>
      </c>
      <c r="K243" s="10">
        <v>32.5</v>
      </c>
      <c r="L243" s="10">
        <v>94.6</v>
      </c>
      <c r="M243" s="10">
        <v>0</v>
      </c>
      <c r="O243" s="10">
        <v>0</v>
      </c>
      <c r="P243" s="10">
        <v>10.7</v>
      </c>
      <c r="Q243" s="10">
        <v>21.3</v>
      </c>
      <c r="R243" s="10">
        <v>29.1</v>
      </c>
      <c r="S243" s="10">
        <v>78.7</v>
      </c>
      <c r="T243" s="10">
        <v>1</v>
      </c>
    </row>
    <row r="244" spans="1:20" x14ac:dyDescent="0.25">
      <c r="A244" s="10">
        <v>1</v>
      </c>
      <c r="B244" s="10">
        <v>15.9</v>
      </c>
      <c r="C244" s="10">
        <v>21.6</v>
      </c>
      <c r="D244" s="10">
        <v>32.4</v>
      </c>
      <c r="E244" s="10">
        <v>83.7</v>
      </c>
      <c r="F244" s="10">
        <v>0</v>
      </c>
      <c r="G244" s="5"/>
      <c r="H244" s="10">
        <v>1</v>
      </c>
      <c r="I244" s="10">
        <v>12.7</v>
      </c>
      <c r="J244" s="10">
        <v>24.1</v>
      </c>
      <c r="K244" s="10">
        <v>28.7</v>
      </c>
      <c r="L244" s="10">
        <v>97.2</v>
      </c>
      <c r="M244" s="10">
        <v>1</v>
      </c>
      <c r="O244" s="10">
        <v>0</v>
      </c>
      <c r="P244" s="10">
        <v>11.2</v>
      </c>
      <c r="Q244" s="10">
        <v>16.100000000000001</v>
      </c>
      <c r="R244" s="10">
        <v>30.3</v>
      </c>
      <c r="S244" s="10">
        <v>82.6</v>
      </c>
      <c r="T244" s="10">
        <v>1</v>
      </c>
    </row>
    <row r="245" spans="1:20" x14ac:dyDescent="0.25">
      <c r="A245" s="10">
        <v>1</v>
      </c>
      <c r="B245" s="10">
        <v>16.7</v>
      </c>
      <c r="C245" s="10">
        <v>22.8</v>
      </c>
      <c r="D245" s="10">
        <v>32.5</v>
      </c>
      <c r="E245" s="10">
        <v>81.900000000000006</v>
      </c>
      <c r="F245" s="10">
        <v>0</v>
      </c>
      <c r="G245" s="5"/>
      <c r="H245" s="10">
        <v>1</v>
      </c>
      <c r="I245" s="10">
        <v>13.3</v>
      </c>
      <c r="J245" s="10">
        <v>17.600000000000001</v>
      </c>
      <c r="K245" s="10">
        <v>32.4</v>
      </c>
      <c r="L245" s="10">
        <v>101.5</v>
      </c>
      <c r="M245" s="10">
        <v>1</v>
      </c>
      <c r="O245" s="10">
        <v>0</v>
      </c>
      <c r="P245" s="10">
        <v>11</v>
      </c>
      <c r="Q245" s="10">
        <v>17</v>
      </c>
      <c r="R245" s="10">
        <v>29.5</v>
      </c>
      <c r="S245" s="10">
        <v>75.3</v>
      </c>
      <c r="T245" s="10">
        <v>1</v>
      </c>
    </row>
    <row r="246" spans="1:20" x14ac:dyDescent="0.25">
      <c r="A246" s="10">
        <v>0</v>
      </c>
      <c r="B246" s="10">
        <v>13.3</v>
      </c>
      <c r="C246" s="10">
        <v>26.3</v>
      </c>
      <c r="D246" s="10">
        <v>30</v>
      </c>
      <c r="E246" s="10">
        <v>100</v>
      </c>
      <c r="F246" s="10">
        <v>0</v>
      </c>
      <c r="G246" s="5"/>
      <c r="H246" s="10">
        <v>0</v>
      </c>
      <c r="I246" s="10">
        <v>10.5</v>
      </c>
      <c r="J246" s="10">
        <v>25.5</v>
      </c>
      <c r="K246" s="10">
        <v>29.6</v>
      </c>
      <c r="L246" s="10">
        <v>83.2</v>
      </c>
      <c r="M246" s="10">
        <v>1</v>
      </c>
      <c r="O246" s="10">
        <v>0</v>
      </c>
      <c r="P246" s="10">
        <v>11.9</v>
      </c>
      <c r="Q246" s="10">
        <v>29.5</v>
      </c>
      <c r="R246" s="10">
        <v>32.200000000000003</v>
      </c>
      <c r="S246" s="10">
        <v>87.8</v>
      </c>
      <c r="T246" s="10">
        <v>1</v>
      </c>
    </row>
    <row r="247" spans="1:20" x14ac:dyDescent="0.25">
      <c r="A247" s="10">
        <v>0</v>
      </c>
      <c r="B247" s="10">
        <v>13.8</v>
      </c>
      <c r="C247" s="10">
        <v>21</v>
      </c>
      <c r="D247" s="10">
        <v>28.6</v>
      </c>
      <c r="E247" s="10">
        <v>80.8</v>
      </c>
      <c r="F247" s="10">
        <v>0</v>
      </c>
      <c r="G247" s="5"/>
      <c r="H247" s="10">
        <v>0</v>
      </c>
      <c r="I247" s="10">
        <v>11.5</v>
      </c>
      <c r="J247" s="10">
        <v>20.8</v>
      </c>
      <c r="K247" s="10">
        <v>30.7</v>
      </c>
      <c r="L247" s="10">
        <v>98.2</v>
      </c>
      <c r="M247" s="10">
        <v>1</v>
      </c>
      <c r="O247" s="10">
        <v>0</v>
      </c>
      <c r="P247" s="10">
        <v>11.6</v>
      </c>
      <c r="Q247" s="10">
        <v>19.399999999999999</v>
      </c>
      <c r="R247" s="10">
        <v>30.1</v>
      </c>
      <c r="S247" s="10">
        <v>85.3</v>
      </c>
      <c r="T247" s="10">
        <v>1</v>
      </c>
    </row>
    <row r="248" spans="1:20" x14ac:dyDescent="0.25">
      <c r="A248" s="10">
        <v>0</v>
      </c>
      <c r="B248" s="10">
        <v>12.3</v>
      </c>
      <c r="C248" s="10">
        <v>23</v>
      </c>
      <c r="D248" s="10">
        <v>29.3</v>
      </c>
      <c r="E248" s="10">
        <v>85.8</v>
      </c>
      <c r="F248" s="10">
        <v>0</v>
      </c>
      <c r="G248" s="5"/>
      <c r="H248" s="10">
        <v>0</v>
      </c>
      <c r="I248" s="10">
        <v>10.4</v>
      </c>
      <c r="J248" s="10">
        <v>23.4</v>
      </c>
      <c r="K248" s="10">
        <v>29.8</v>
      </c>
      <c r="L248" s="10">
        <v>92.5</v>
      </c>
      <c r="M248" s="10">
        <v>1</v>
      </c>
      <c r="O248" s="10">
        <v>1</v>
      </c>
      <c r="P248" s="10">
        <v>12.8</v>
      </c>
      <c r="Q248" s="10">
        <v>21.2</v>
      </c>
      <c r="R248" s="10">
        <v>31.7</v>
      </c>
      <c r="S248" s="10">
        <v>73.3</v>
      </c>
      <c r="T248" s="10">
        <v>1</v>
      </c>
    </row>
    <row r="249" spans="1:20" x14ac:dyDescent="0.25">
      <c r="A249" s="10">
        <v>0</v>
      </c>
      <c r="B249" s="10">
        <v>15</v>
      </c>
      <c r="C249" s="10">
        <v>21.8</v>
      </c>
      <c r="D249" s="10">
        <v>28.8</v>
      </c>
      <c r="E249" s="10">
        <v>95.2</v>
      </c>
      <c r="F249" s="10">
        <v>0</v>
      </c>
      <c r="G249" s="5"/>
      <c r="H249" s="10">
        <v>1</v>
      </c>
      <c r="I249" s="10">
        <v>13</v>
      </c>
      <c r="J249" s="10">
        <v>21.4</v>
      </c>
      <c r="K249" s="10">
        <v>28.8</v>
      </c>
      <c r="L249" s="10">
        <v>78.400000000000006</v>
      </c>
      <c r="M249" s="10">
        <v>1</v>
      </c>
      <c r="O249" s="10">
        <v>0</v>
      </c>
      <c r="P249" s="10">
        <v>11.7</v>
      </c>
      <c r="Q249" s="10">
        <v>26.3</v>
      </c>
      <c r="R249" s="10">
        <v>30</v>
      </c>
      <c r="S249" s="10">
        <v>70.5</v>
      </c>
      <c r="T249" s="10">
        <v>1</v>
      </c>
    </row>
    <row r="250" spans="1:20" x14ac:dyDescent="0.25">
      <c r="A250" s="10">
        <v>0</v>
      </c>
      <c r="B250" s="10">
        <v>16.8</v>
      </c>
      <c r="C250" s="10">
        <v>24.9</v>
      </c>
      <c r="D250" s="10">
        <v>32</v>
      </c>
      <c r="E250" s="10">
        <v>80.599999999999994</v>
      </c>
      <c r="F250" s="10">
        <v>0</v>
      </c>
      <c r="G250" s="5"/>
      <c r="H250" s="10">
        <v>1</v>
      </c>
      <c r="I250" s="10">
        <v>12.3</v>
      </c>
      <c r="J250" s="10">
        <v>19.2</v>
      </c>
      <c r="K250" s="10">
        <v>28.1</v>
      </c>
      <c r="L250" s="10">
        <v>100.8</v>
      </c>
      <c r="M250" s="10">
        <v>1</v>
      </c>
      <c r="O250" s="10">
        <v>1</v>
      </c>
      <c r="P250" s="10">
        <v>11.3</v>
      </c>
      <c r="Q250" s="10">
        <v>26.7</v>
      </c>
      <c r="R250" s="10">
        <v>29.8</v>
      </c>
      <c r="S250" s="10">
        <v>92.7</v>
      </c>
      <c r="T250" s="10">
        <v>1</v>
      </c>
    </row>
    <row r="251" spans="1:20" x14ac:dyDescent="0.25">
      <c r="A251" s="10">
        <v>0</v>
      </c>
      <c r="B251" s="10">
        <v>16.8</v>
      </c>
      <c r="C251" s="10">
        <v>22.3</v>
      </c>
      <c r="D251" s="10">
        <v>30.8</v>
      </c>
      <c r="E251" s="10">
        <v>76.7</v>
      </c>
      <c r="F251" s="10">
        <v>0</v>
      </c>
      <c r="G251" s="5"/>
      <c r="H251" s="10">
        <v>0</v>
      </c>
      <c r="I251" s="10">
        <v>11.8</v>
      </c>
      <c r="J251" s="10">
        <v>20.6</v>
      </c>
      <c r="K251" s="10">
        <v>31.9</v>
      </c>
      <c r="L251" s="10">
        <v>99.7</v>
      </c>
      <c r="M251" s="10">
        <v>1</v>
      </c>
      <c r="O251" s="10">
        <v>1</v>
      </c>
      <c r="P251" s="10">
        <v>13.1</v>
      </c>
      <c r="Q251" s="10">
        <v>28.3</v>
      </c>
      <c r="R251" s="10">
        <v>29.6</v>
      </c>
      <c r="S251" s="10">
        <v>86.5</v>
      </c>
      <c r="T251" s="10">
        <v>1</v>
      </c>
    </row>
    <row r="252" spans="1:20" x14ac:dyDescent="0.25">
      <c r="A252" s="10">
        <v>1</v>
      </c>
      <c r="B252" s="10">
        <v>15.2</v>
      </c>
      <c r="C252" s="10">
        <v>24.9</v>
      </c>
      <c r="D252" s="10">
        <v>28.4</v>
      </c>
      <c r="E252" s="10">
        <v>90.1</v>
      </c>
      <c r="F252" s="10">
        <v>0</v>
      </c>
      <c r="G252" s="5"/>
      <c r="H252" s="10">
        <v>0</v>
      </c>
      <c r="I252" s="10">
        <v>10.3</v>
      </c>
      <c r="J252" s="10">
        <v>27</v>
      </c>
      <c r="K252" s="10">
        <v>32.4</v>
      </c>
      <c r="L252" s="10">
        <v>71.599999999999994</v>
      </c>
      <c r="M252" s="10">
        <v>1</v>
      </c>
      <c r="O252" s="10">
        <v>1</v>
      </c>
      <c r="P252" s="10">
        <v>12.7</v>
      </c>
      <c r="Q252" s="10">
        <v>19.100000000000001</v>
      </c>
      <c r="R252" s="10">
        <v>29.8</v>
      </c>
      <c r="S252" s="10">
        <v>84.3</v>
      </c>
      <c r="T252" s="10">
        <v>1</v>
      </c>
    </row>
    <row r="253" spans="1:20" x14ac:dyDescent="0.25">
      <c r="A253" s="10">
        <v>1</v>
      </c>
      <c r="B253" s="10">
        <v>16.100000000000001</v>
      </c>
      <c r="C253" s="10">
        <v>25.9</v>
      </c>
      <c r="D253" s="10">
        <v>31.7</v>
      </c>
      <c r="E253" s="10">
        <v>78</v>
      </c>
      <c r="F253" s="10">
        <v>0</v>
      </c>
      <c r="G253" s="5"/>
      <c r="H253" s="10">
        <v>0</v>
      </c>
      <c r="I253" s="10">
        <v>11</v>
      </c>
      <c r="J253" s="10">
        <v>19.5</v>
      </c>
      <c r="K253" s="10">
        <v>31.7</v>
      </c>
      <c r="L253" s="10">
        <v>77.099999999999994</v>
      </c>
      <c r="M253" s="10">
        <v>1</v>
      </c>
      <c r="O253" s="10">
        <v>1</v>
      </c>
      <c r="P253" s="10">
        <v>10.8</v>
      </c>
      <c r="Q253" s="10">
        <v>16.8</v>
      </c>
      <c r="R253" s="10">
        <v>30.6</v>
      </c>
      <c r="S253" s="10">
        <v>79.599999999999994</v>
      </c>
      <c r="T253" s="10">
        <v>1</v>
      </c>
    </row>
    <row r="254" spans="1:20" x14ac:dyDescent="0.25">
      <c r="A254" s="10">
        <v>0</v>
      </c>
      <c r="B254" s="10">
        <v>16.600000000000001</v>
      </c>
      <c r="C254" s="10">
        <v>21.7</v>
      </c>
      <c r="D254" s="10">
        <v>30.8</v>
      </c>
      <c r="E254" s="10">
        <v>88.1</v>
      </c>
      <c r="F254" s="10">
        <v>0</v>
      </c>
      <c r="G254" s="5"/>
      <c r="H254" s="10">
        <v>1</v>
      </c>
      <c r="I254" s="10">
        <v>12.5</v>
      </c>
      <c r="J254" s="10">
        <v>25.2</v>
      </c>
      <c r="K254" s="10">
        <v>31.5</v>
      </c>
      <c r="L254" s="10">
        <v>91.7</v>
      </c>
      <c r="M254" s="10">
        <v>1</v>
      </c>
      <c r="O254" s="10">
        <v>1</v>
      </c>
      <c r="P254" s="10">
        <v>10.4</v>
      </c>
      <c r="Q254" s="10">
        <v>29.6</v>
      </c>
      <c r="R254" s="10">
        <v>28.3</v>
      </c>
      <c r="S254" s="10">
        <v>101</v>
      </c>
      <c r="T254" s="10">
        <v>1</v>
      </c>
    </row>
    <row r="255" spans="1:20" x14ac:dyDescent="0.25">
      <c r="A255" s="10">
        <v>1</v>
      </c>
      <c r="B255" s="10">
        <v>14.6</v>
      </c>
      <c r="C255" s="10">
        <v>25.5</v>
      </c>
      <c r="D255" s="10">
        <v>31.8</v>
      </c>
      <c r="E255" s="10">
        <v>83.5</v>
      </c>
      <c r="F255" s="10">
        <v>0</v>
      </c>
      <c r="G255" s="5"/>
      <c r="H255" s="10">
        <v>0</v>
      </c>
      <c r="I255" s="10">
        <v>6.6</v>
      </c>
      <c r="J255" s="10">
        <v>28.7</v>
      </c>
      <c r="K255" s="10">
        <v>31</v>
      </c>
      <c r="L255" s="10">
        <v>81.599999999999994</v>
      </c>
      <c r="M255" s="10">
        <v>1</v>
      </c>
      <c r="O255" s="10">
        <v>1</v>
      </c>
      <c r="P255" s="10">
        <v>11.5</v>
      </c>
      <c r="Q255" s="10">
        <v>26.1</v>
      </c>
      <c r="R255" s="10">
        <v>28.6</v>
      </c>
      <c r="S255" s="10">
        <v>91</v>
      </c>
      <c r="T255" s="10">
        <v>1</v>
      </c>
    </row>
    <row r="256" spans="1:20" x14ac:dyDescent="0.25">
      <c r="A256" s="10">
        <v>0</v>
      </c>
      <c r="B256" s="10">
        <v>13.4</v>
      </c>
      <c r="C256" s="10">
        <v>26.3</v>
      </c>
      <c r="D256" s="10">
        <v>28.5</v>
      </c>
      <c r="E256" s="10">
        <v>84.6</v>
      </c>
      <c r="F256" s="10">
        <v>0</v>
      </c>
      <c r="G256" s="5"/>
      <c r="H256" s="10">
        <v>1</v>
      </c>
      <c r="I256" s="10">
        <v>10</v>
      </c>
      <c r="J256" s="10">
        <v>20.9</v>
      </c>
      <c r="K256" s="10">
        <v>31.2</v>
      </c>
      <c r="L256" s="10">
        <v>72.5</v>
      </c>
      <c r="M256" s="10">
        <v>1</v>
      </c>
      <c r="O256" s="10">
        <v>1</v>
      </c>
      <c r="P256" s="10">
        <v>11.1</v>
      </c>
      <c r="Q256" s="10">
        <v>22.8</v>
      </c>
      <c r="R256" s="10">
        <v>28</v>
      </c>
      <c r="S256" s="10">
        <v>97.3</v>
      </c>
      <c r="T256" s="10">
        <v>1</v>
      </c>
    </row>
    <row r="257" spans="1:20" x14ac:dyDescent="0.25">
      <c r="A257" s="10">
        <v>0</v>
      </c>
      <c r="B257" s="10">
        <v>13</v>
      </c>
      <c r="C257" s="10">
        <v>28.3</v>
      </c>
      <c r="D257" s="10">
        <v>30</v>
      </c>
      <c r="E257" s="10">
        <v>83</v>
      </c>
      <c r="F257" s="10">
        <v>0</v>
      </c>
      <c r="G257" s="5"/>
      <c r="H257" s="10">
        <v>1</v>
      </c>
      <c r="I257" s="10">
        <v>12.1</v>
      </c>
      <c r="J257" s="10">
        <v>19.899999999999999</v>
      </c>
      <c r="K257" s="10">
        <v>32.4</v>
      </c>
      <c r="L257" s="10">
        <v>90.9</v>
      </c>
      <c r="M257" s="10">
        <v>1</v>
      </c>
      <c r="O257" s="10">
        <v>0</v>
      </c>
      <c r="P257" s="10">
        <v>10.4</v>
      </c>
      <c r="Q257" s="10">
        <v>27.1</v>
      </c>
      <c r="R257" s="10">
        <v>29.8</v>
      </c>
      <c r="S257" s="10">
        <v>75.2</v>
      </c>
      <c r="T257" s="10">
        <v>1</v>
      </c>
    </row>
    <row r="258" spans="1:20" x14ac:dyDescent="0.25">
      <c r="A258" s="10">
        <v>0</v>
      </c>
      <c r="B258" s="10">
        <v>14.3</v>
      </c>
      <c r="C258" s="10">
        <v>27.6</v>
      </c>
      <c r="D258" s="10">
        <v>32.299999999999997</v>
      </c>
      <c r="E258" s="10">
        <v>74.3</v>
      </c>
      <c r="F258" s="10">
        <v>0</v>
      </c>
      <c r="G258" s="5"/>
      <c r="H258" s="10">
        <v>0</v>
      </c>
      <c r="I258" s="10">
        <v>8.9</v>
      </c>
      <c r="J258" s="10">
        <v>18.3</v>
      </c>
      <c r="K258" s="10">
        <v>31.7</v>
      </c>
      <c r="L258" s="10">
        <v>82.8</v>
      </c>
      <c r="M258" s="10">
        <v>1</v>
      </c>
      <c r="O258" s="10">
        <v>1</v>
      </c>
      <c r="P258" s="10">
        <v>11.5</v>
      </c>
      <c r="Q258" s="10">
        <v>21.4</v>
      </c>
      <c r="R258" s="10">
        <v>32.5</v>
      </c>
      <c r="S258" s="10">
        <v>76.599999999999994</v>
      </c>
      <c r="T258" s="10">
        <v>1</v>
      </c>
    </row>
    <row r="259" spans="1:20" x14ac:dyDescent="0.25">
      <c r="A259" s="10">
        <v>0</v>
      </c>
      <c r="B259" s="10">
        <v>13.1</v>
      </c>
      <c r="C259" s="10">
        <v>27</v>
      </c>
      <c r="D259" s="10">
        <v>32.4</v>
      </c>
      <c r="E259" s="10">
        <v>97.8</v>
      </c>
      <c r="F259" s="10">
        <v>0</v>
      </c>
      <c r="G259" s="5"/>
      <c r="H259" s="10">
        <v>0</v>
      </c>
      <c r="I259" s="10">
        <v>9.1999999999999993</v>
      </c>
      <c r="J259" s="10">
        <v>21.5</v>
      </c>
      <c r="K259" s="10">
        <v>31.6</v>
      </c>
      <c r="L259" s="10">
        <v>99.7</v>
      </c>
      <c r="M259" s="10">
        <v>1</v>
      </c>
      <c r="O259" s="10">
        <v>0</v>
      </c>
      <c r="P259" s="10">
        <v>11.2</v>
      </c>
      <c r="Q259" s="10">
        <v>29.6</v>
      </c>
      <c r="R259" s="10">
        <v>30.3</v>
      </c>
      <c r="S259" s="10">
        <v>74</v>
      </c>
      <c r="T259" s="10">
        <v>1</v>
      </c>
    </row>
    <row r="260" spans="1:20" x14ac:dyDescent="0.25">
      <c r="A260" s="10">
        <v>0</v>
      </c>
      <c r="B260" s="10">
        <v>15.5</v>
      </c>
      <c r="C260" s="10">
        <v>26.9</v>
      </c>
      <c r="D260" s="10">
        <v>28</v>
      </c>
      <c r="E260" s="10">
        <v>72.7</v>
      </c>
      <c r="F260" s="10">
        <v>0</v>
      </c>
      <c r="G260" s="5"/>
      <c r="H260" s="10">
        <v>0</v>
      </c>
      <c r="I260" s="10">
        <v>9.9</v>
      </c>
      <c r="J260" s="10">
        <v>16.7</v>
      </c>
      <c r="K260" s="10">
        <v>30</v>
      </c>
      <c r="L260" s="10">
        <v>78.400000000000006</v>
      </c>
      <c r="M260" s="10">
        <v>1</v>
      </c>
      <c r="O260" s="10">
        <v>1</v>
      </c>
      <c r="P260" s="10">
        <v>12.7</v>
      </c>
      <c r="Q260" s="10">
        <v>23.6</v>
      </c>
      <c r="R260" s="10">
        <v>30.4</v>
      </c>
      <c r="S260" s="10">
        <v>69.8</v>
      </c>
      <c r="T260" s="10">
        <v>1</v>
      </c>
    </row>
    <row r="261" spans="1:20" x14ac:dyDescent="0.25">
      <c r="A261" s="10">
        <v>0</v>
      </c>
      <c r="B261" s="10">
        <v>14</v>
      </c>
      <c r="C261" s="10">
        <v>26.9</v>
      </c>
      <c r="D261" s="10">
        <v>28</v>
      </c>
      <c r="E261" s="10">
        <v>89.9</v>
      </c>
      <c r="F261" s="10">
        <v>0</v>
      </c>
      <c r="G261" s="5"/>
      <c r="H261" s="10">
        <v>1</v>
      </c>
      <c r="I261" s="10">
        <v>11.7</v>
      </c>
      <c r="J261" s="10">
        <v>18.100000000000001</v>
      </c>
      <c r="K261" s="10">
        <v>31.4</v>
      </c>
      <c r="L261" s="10">
        <v>83.5</v>
      </c>
      <c r="M261" s="10">
        <v>1</v>
      </c>
      <c r="O261" s="10">
        <v>1</v>
      </c>
      <c r="P261" s="10">
        <v>11.2</v>
      </c>
      <c r="Q261" s="10">
        <v>18.5</v>
      </c>
      <c r="R261" s="10">
        <v>29.3</v>
      </c>
      <c r="S261" s="10">
        <v>93.9</v>
      </c>
      <c r="T261" s="10">
        <v>1</v>
      </c>
    </row>
    <row r="262" spans="1:20" x14ac:dyDescent="0.25">
      <c r="A262" s="10">
        <v>1</v>
      </c>
      <c r="B262" s="10">
        <v>15.3</v>
      </c>
      <c r="C262" s="10">
        <v>28.9</v>
      </c>
      <c r="D262" s="10">
        <v>31.6</v>
      </c>
      <c r="E262" s="10">
        <v>76.3</v>
      </c>
      <c r="F262" s="10">
        <v>0</v>
      </c>
      <c r="G262" s="5"/>
      <c r="H262" s="10">
        <v>1</v>
      </c>
      <c r="I262" s="10">
        <v>11.8</v>
      </c>
      <c r="J262" s="10">
        <v>24.4</v>
      </c>
      <c r="K262" s="10">
        <v>30.6</v>
      </c>
      <c r="L262" s="10">
        <v>77.400000000000006</v>
      </c>
      <c r="M262" s="10">
        <v>1</v>
      </c>
      <c r="O262" s="10">
        <v>1</v>
      </c>
      <c r="P262" s="10">
        <v>10.7</v>
      </c>
      <c r="Q262" s="10">
        <v>21.3</v>
      </c>
      <c r="R262" s="10">
        <v>28.8</v>
      </c>
      <c r="S262" s="10">
        <v>78.3</v>
      </c>
      <c r="T262" s="10">
        <v>1</v>
      </c>
    </row>
    <row r="263" spans="1:20" x14ac:dyDescent="0.25">
      <c r="A263" s="10">
        <v>1</v>
      </c>
      <c r="B263" s="10">
        <v>14.3</v>
      </c>
      <c r="C263" s="10">
        <v>20.399999999999999</v>
      </c>
      <c r="D263" s="10">
        <v>28</v>
      </c>
      <c r="E263" s="10">
        <v>97.4</v>
      </c>
      <c r="F263" s="10">
        <v>0</v>
      </c>
      <c r="G263" s="5"/>
      <c r="H263" s="10">
        <v>1</v>
      </c>
      <c r="I263" s="10">
        <v>12</v>
      </c>
      <c r="J263" s="10">
        <v>23.6</v>
      </c>
      <c r="K263" s="10">
        <v>28.3</v>
      </c>
      <c r="L263" s="10">
        <v>89.8</v>
      </c>
      <c r="M263" s="10">
        <v>1</v>
      </c>
      <c r="O263" s="10">
        <v>1</v>
      </c>
      <c r="P263" s="10">
        <v>10.7</v>
      </c>
      <c r="Q263" s="10">
        <v>19</v>
      </c>
      <c r="R263" s="10">
        <v>32.200000000000003</v>
      </c>
      <c r="S263" s="10">
        <v>77.099999999999994</v>
      </c>
      <c r="T263" s="10">
        <v>1</v>
      </c>
    </row>
    <row r="264" spans="1:20" x14ac:dyDescent="0.25">
      <c r="A264" s="10">
        <v>1</v>
      </c>
      <c r="B264" s="10">
        <v>14.4</v>
      </c>
      <c r="C264" s="10">
        <v>18.100000000000001</v>
      </c>
      <c r="D264" s="10">
        <v>28.7</v>
      </c>
      <c r="E264" s="10">
        <v>80.2</v>
      </c>
      <c r="F264" s="10">
        <v>0</v>
      </c>
      <c r="G264" s="5"/>
      <c r="H264" s="10">
        <v>0</v>
      </c>
      <c r="I264" s="10">
        <v>11.1</v>
      </c>
      <c r="J264" s="10">
        <v>29.3</v>
      </c>
      <c r="K264" s="10">
        <v>32.200000000000003</v>
      </c>
      <c r="L264" s="10">
        <v>78.7</v>
      </c>
      <c r="M264" s="10">
        <v>1</v>
      </c>
      <c r="O264" s="10">
        <v>0</v>
      </c>
      <c r="P264" s="10">
        <v>11.8</v>
      </c>
      <c r="Q264" s="10">
        <v>18.600000000000001</v>
      </c>
      <c r="R264" s="10">
        <v>29.4</v>
      </c>
      <c r="S264" s="10">
        <v>80.2</v>
      </c>
      <c r="T264" s="10">
        <v>1</v>
      </c>
    </row>
    <row r="265" spans="1:20" x14ac:dyDescent="0.25">
      <c r="A265" s="10">
        <v>0</v>
      </c>
      <c r="B265" s="10">
        <v>12</v>
      </c>
      <c r="C265" s="10">
        <v>19.399999999999999</v>
      </c>
      <c r="D265" s="10">
        <v>29.6</v>
      </c>
      <c r="E265" s="10">
        <v>71.5</v>
      </c>
      <c r="F265" s="10">
        <v>0</v>
      </c>
      <c r="G265" s="5"/>
      <c r="H265" s="10">
        <v>1</v>
      </c>
      <c r="I265" s="10">
        <v>9</v>
      </c>
      <c r="J265" s="10">
        <v>23</v>
      </c>
      <c r="K265" s="10">
        <v>30.5</v>
      </c>
      <c r="L265" s="10">
        <v>69.8</v>
      </c>
      <c r="M265" s="10">
        <v>1</v>
      </c>
      <c r="O265" s="10">
        <v>1</v>
      </c>
      <c r="P265" s="10">
        <v>12.8</v>
      </c>
      <c r="Q265" s="10">
        <v>16.3</v>
      </c>
      <c r="R265" s="10">
        <v>31.1</v>
      </c>
      <c r="S265" s="10">
        <v>100.9</v>
      </c>
      <c r="T265" s="10">
        <v>1</v>
      </c>
    </row>
    <row r="266" spans="1:20" x14ac:dyDescent="0.25">
      <c r="A266" s="10">
        <v>1</v>
      </c>
      <c r="B266" s="10">
        <v>15.2</v>
      </c>
      <c r="C266" s="10">
        <v>19.5</v>
      </c>
      <c r="D266" s="10">
        <v>28.3</v>
      </c>
      <c r="E266" s="10">
        <v>74.099999999999994</v>
      </c>
      <c r="F266" s="10">
        <v>0</v>
      </c>
      <c r="G266" s="5"/>
      <c r="H266" s="10">
        <v>1</v>
      </c>
      <c r="I266" s="10">
        <v>9.6</v>
      </c>
      <c r="J266" s="10">
        <v>27.9</v>
      </c>
      <c r="K266" s="10">
        <v>29.2</v>
      </c>
      <c r="L266" s="10">
        <v>87.9</v>
      </c>
      <c r="M266" s="10">
        <v>1</v>
      </c>
      <c r="O266" s="10">
        <v>0</v>
      </c>
      <c r="P266" s="10">
        <v>11.1</v>
      </c>
      <c r="Q266" s="10">
        <v>24.3</v>
      </c>
      <c r="R266" s="10">
        <v>32.5</v>
      </c>
      <c r="S266" s="10">
        <v>91</v>
      </c>
      <c r="T266" s="10">
        <v>1</v>
      </c>
    </row>
    <row r="267" spans="1:20" x14ac:dyDescent="0.25">
      <c r="A267" s="10">
        <v>0</v>
      </c>
      <c r="B267" s="10">
        <v>12</v>
      </c>
      <c r="C267" s="10">
        <v>21.5</v>
      </c>
      <c r="D267" s="10">
        <v>29.1</v>
      </c>
      <c r="E267" s="10">
        <v>101.1</v>
      </c>
      <c r="F267" s="10">
        <v>0</v>
      </c>
      <c r="G267" s="5"/>
      <c r="H267" s="10">
        <v>0</v>
      </c>
      <c r="I267" s="10">
        <v>8.4</v>
      </c>
      <c r="J267" s="10">
        <v>17.600000000000001</v>
      </c>
      <c r="K267" s="10">
        <v>28.8</v>
      </c>
      <c r="L267" s="10">
        <v>85.2</v>
      </c>
      <c r="M267" s="10">
        <v>1</v>
      </c>
      <c r="O267" s="10">
        <v>1</v>
      </c>
      <c r="P267" s="10">
        <v>10.9</v>
      </c>
      <c r="Q267" s="10">
        <v>30</v>
      </c>
      <c r="R267" s="10">
        <v>29.8</v>
      </c>
      <c r="S267" s="10">
        <v>98.5</v>
      </c>
      <c r="T267" s="10">
        <v>1</v>
      </c>
    </row>
    <row r="268" spans="1:20" x14ac:dyDescent="0.25">
      <c r="A268" s="10">
        <v>1</v>
      </c>
      <c r="B268" s="10">
        <v>15.1</v>
      </c>
      <c r="C268" s="10">
        <v>24.3</v>
      </c>
      <c r="D268" s="10">
        <v>31.4</v>
      </c>
      <c r="E268" s="10">
        <v>76.099999999999994</v>
      </c>
      <c r="F268" s="10">
        <v>0</v>
      </c>
      <c r="G268" s="5"/>
      <c r="H268" s="10">
        <v>0</v>
      </c>
      <c r="I268" s="10">
        <v>10.8</v>
      </c>
      <c r="J268" s="10">
        <v>24.9</v>
      </c>
      <c r="K268" s="10">
        <v>28.3</v>
      </c>
      <c r="L268" s="10">
        <v>100</v>
      </c>
      <c r="M268" s="10">
        <v>1</v>
      </c>
      <c r="O268" s="10">
        <v>1</v>
      </c>
      <c r="P268" s="10">
        <v>11.4</v>
      </c>
      <c r="Q268" s="10">
        <v>21</v>
      </c>
      <c r="R268" s="10">
        <v>31.7</v>
      </c>
      <c r="S268" s="10">
        <v>88.9</v>
      </c>
      <c r="T268" s="10">
        <v>1</v>
      </c>
    </row>
    <row r="269" spans="1:20" x14ac:dyDescent="0.25">
      <c r="A269" s="10">
        <v>0</v>
      </c>
      <c r="B269" s="10">
        <v>12.8</v>
      </c>
      <c r="C269" s="10">
        <v>29.2</v>
      </c>
      <c r="D269" s="10">
        <v>32.1</v>
      </c>
      <c r="E269" s="10">
        <v>89.8</v>
      </c>
      <c r="F269" s="10">
        <v>0</v>
      </c>
      <c r="G269" s="5"/>
      <c r="H269" s="10">
        <v>1</v>
      </c>
      <c r="I269" s="10">
        <v>12.3</v>
      </c>
      <c r="J269" s="10">
        <v>23.5</v>
      </c>
      <c r="K269" s="10">
        <v>28.1</v>
      </c>
      <c r="L269" s="10">
        <v>76.900000000000006</v>
      </c>
      <c r="M269" s="10">
        <v>1</v>
      </c>
      <c r="O269" s="10">
        <v>1</v>
      </c>
      <c r="P269" s="10">
        <v>11.6</v>
      </c>
      <c r="Q269" s="10">
        <v>24.3</v>
      </c>
      <c r="R269" s="10">
        <v>29.1</v>
      </c>
      <c r="S269" s="10">
        <v>85.7</v>
      </c>
      <c r="T269" s="10">
        <v>1</v>
      </c>
    </row>
    <row r="270" spans="1:20" x14ac:dyDescent="0.25">
      <c r="A270" s="10">
        <v>1</v>
      </c>
      <c r="B270" s="10">
        <v>15.1</v>
      </c>
      <c r="C270" s="10">
        <v>21.6</v>
      </c>
      <c r="D270" s="10">
        <v>28.4</v>
      </c>
      <c r="E270" s="10">
        <v>100</v>
      </c>
      <c r="F270" s="10">
        <v>0</v>
      </c>
      <c r="G270" s="5"/>
      <c r="H270" s="10">
        <v>0</v>
      </c>
      <c r="I270" s="10">
        <v>9.8000000000000007</v>
      </c>
      <c r="J270" s="10">
        <v>29.3</v>
      </c>
      <c r="K270" s="10">
        <v>28.9</v>
      </c>
      <c r="L270" s="10">
        <v>88.3</v>
      </c>
      <c r="M270" s="10">
        <v>1</v>
      </c>
      <c r="O270" s="10">
        <v>1</v>
      </c>
      <c r="P270" s="10">
        <v>12.9</v>
      </c>
      <c r="Q270" s="10">
        <v>27.4</v>
      </c>
      <c r="R270" s="10">
        <v>28.2</v>
      </c>
      <c r="S270" s="10">
        <v>78.8</v>
      </c>
      <c r="T270" s="10">
        <v>1</v>
      </c>
    </row>
    <row r="271" spans="1:20" x14ac:dyDescent="0.25">
      <c r="A271" s="10">
        <v>1</v>
      </c>
      <c r="B271" s="10">
        <v>15</v>
      </c>
      <c r="C271" s="10">
        <v>19.899999999999999</v>
      </c>
      <c r="D271" s="10">
        <v>30.1</v>
      </c>
      <c r="E271" s="10">
        <v>76.5</v>
      </c>
      <c r="F271" s="10">
        <v>0</v>
      </c>
      <c r="G271" s="5"/>
      <c r="H271" s="10">
        <v>1</v>
      </c>
      <c r="I271" s="10">
        <v>13</v>
      </c>
      <c r="J271" s="10">
        <v>28.1</v>
      </c>
      <c r="K271" s="10">
        <v>31.6</v>
      </c>
      <c r="L271" s="10">
        <v>94.6</v>
      </c>
      <c r="M271" s="10">
        <v>1</v>
      </c>
      <c r="O271" s="10">
        <v>1</v>
      </c>
      <c r="P271" s="10">
        <v>11.8</v>
      </c>
      <c r="Q271" s="10">
        <v>22</v>
      </c>
      <c r="R271" s="10">
        <v>29.3</v>
      </c>
      <c r="S271" s="10">
        <v>71.099999999999994</v>
      </c>
      <c r="T271" s="10">
        <v>1</v>
      </c>
    </row>
    <row r="272" spans="1:20" x14ac:dyDescent="0.25">
      <c r="A272" s="10">
        <v>0</v>
      </c>
      <c r="B272" s="10">
        <v>13.2</v>
      </c>
      <c r="C272" s="10">
        <v>17</v>
      </c>
      <c r="D272" s="10">
        <v>29.4</v>
      </c>
      <c r="E272" s="10">
        <v>101.5</v>
      </c>
      <c r="F272" s="10">
        <v>0</v>
      </c>
      <c r="G272" s="5"/>
      <c r="H272" s="10">
        <v>1</v>
      </c>
      <c r="I272" s="10">
        <v>10.6</v>
      </c>
      <c r="J272" s="10">
        <v>22.7</v>
      </c>
      <c r="K272" s="10">
        <v>29.1</v>
      </c>
      <c r="L272" s="10">
        <v>83.7</v>
      </c>
      <c r="M272" s="10">
        <v>1</v>
      </c>
      <c r="O272" s="10">
        <v>0</v>
      </c>
      <c r="P272" s="10">
        <v>10.4</v>
      </c>
      <c r="Q272" s="10">
        <v>20</v>
      </c>
      <c r="R272" s="10">
        <v>32.200000000000003</v>
      </c>
      <c r="S272" s="10">
        <v>101.2</v>
      </c>
      <c r="T272" s="10">
        <v>1</v>
      </c>
    </row>
    <row r="273" spans="1:20" x14ac:dyDescent="0.25">
      <c r="A273" s="10">
        <v>0</v>
      </c>
      <c r="B273" s="10">
        <v>16.600000000000001</v>
      </c>
      <c r="C273" s="10">
        <v>28.4</v>
      </c>
      <c r="D273" s="10">
        <v>31</v>
      </c>
      <c r="E273" s="10">
        <v>75.599999999999994</v>
      </c>
      <c r="F273" s="10">
        <v>0</v>
      </c>
      <c r="G273" s="5"/>
      <c r="H273" s="10">
        <v>1</v>
      </c>
      <c r="I273" s="10">
        <v>11.7</v>
      </c>
      <c r="J273" s="10">
        <v>25.8</v>
      </c>
      <c r="K273" s="10">
        <v>31.3</v>
      </c>
      <c r="L273" s="10">
        <v>82.9</v>
      </c>
      <c r="M273" s="10">
        <v>1</v>
      </c>
      <c r="O273" s="10">
        <v>1</v>
      </c>
      <c r="P273" s="10">
        <v>10.4</v>
      </c>
      <c r="Q273" s="10">
        <v>17.100000000000001</v>
      </c>
      <c r="R273" s="10">
        <v>31.4</v>
      </c>
      <c r="S273" s="10">
        <v>90.6</v>
      </c>
      <c r="T273" s="10">
        <v>1</v>
      </c>
    </row>
    <row r="274" spans="1:20" x14ac:dyDescent="0.25">
      <c r="A274" s="10">
        <v>0</v>
      </c>
      <c r="B274" s="10">
        <v>13.6</v>
      </c>
      <c r="C274" s="10">
        <v>29.8</v>
      </c>
      <c r="D274" s="10">
        <v>32.4</v>
      </c>
      <c r="E274" s="10">
        <v>76.599999999999994</v>
      </c>
      <c r="F274" s="10">
        <v>0</v>
      </c>
      <c r="G274" s="5"/>
      <c r="H274" s="10">
        <v>0</v>
      </c>
      <c r="I274" s="10">
        <v>9.1999999999999993</v>
      </c>
      <c r="J274" s="10">
        <v>19.3</v>
      </c>
      <c r="K274" s="10">
        <v>31.4</v>
      </c>
      <c r="L274" s="10">
        <v>78.900000000000006</v>
      </c>
      <c r="M274" s="10">
        <v>1</v>
      </c>
      <c r="O274" s="10">
        <v>1</v>
      </c>
      <c r="P274" s="10">
        <v>12.8</v>
      </c>
      <c r="Q274" s="10">
        <v>20.3</v>
      </c>
      <c r="R274" s="10">
        <v>31.1</v>
      </c>
      <c r="S274" s="10">
        <v>100.1</v>
      </c>
      <c r="T274" s="10">
        <v>1</v>
      </c>
    </row>
    <row r="275" spans="1:20" x14ac:dyDescent="0.25">
      <c r="A275" s="10">
        <v>1</v>
      </c>
      <c r="B275" s="10">
        <v>13.7</v>
      </c>
      <c r="C275" s="10">
        <v>26</v>
      </c>
      <c r="D275" s="10">
        <v>31.4</v>
      </c>
      <c r="E275" s="10">
        <v>82.8</v>
      </c>
      <c r="F275" s="10">
        <v>0</v>
      </c>
      <c r="G275" s="5"/>
      <c r="H275" s="10">
        <v>1</v>
      </c>
      <c r="I275" s="10">
        <v>12.5</v>
      </c>
      <c r="J275" s="10">
        <v>17.600000000000001</v>
      </c>
      <c r="K275" s="10">
        <v>32.4</v>
      </c>
      <c r="L275" s="10">
        <v>101.5</v>
      </c>
      <c r="M275" s="10">
        <v>1</v>
      </c>
      <c r="O275" s="10">
        <v>1</v>
      </c>
      <c r="P275" s="10">
        <v>11.7</v>
      </c>
      <c r="Q275" s="10">
        <v>18.399999999999999</v>
      </c>
      <c r="R275" s="10">
        <v>32.1</v>
      </c>
      <c r="S275" s="10">
        <v>74.8</v>
      </c>
      <c r="T275" s="10">
        <v>1</v>
      </c>
    </row>
    <row r="276" spans="1:20" x14ac:dyDescent="0.25">
      <c r="A276" s="10">
        <v>0</v>
      </c>
      <c r="B276" s="10">
        <v>14.3</v>
      </c>
      <c r="C276" s="10">
        <v>19.2</v>
      </c>
      <c r="D276" s="10">
        <v>30.9</v>
      </c>
      <c r="E276" s="10">
        <v>94.8</v>
      </c>
      <c r="F276" s="10">
        <v>0</v>
      </c>
      <c r="G276" s="5"/>
      <c r="H276" s="10">
        <v>0</v>
      </c>
      <c r="I276" s="10">
        <v>9.1</v>
      </c>
      <c r="J276" s="10">
        <v>21.3</v>
      </c>
      <c r="K276" s="10">
        <v>29.4</v>
      </c>
      <c r="L276" s="10">
        <v>94.2</v>
      </c>
      <c r="M276" s="10">
        <v>1</v>
      </c>
      <c r="O276" s="10">
        <v>1</v>
      </c>
      <c r="P276" s="10">
        <v>11.9</v>
      </c>
      <c r="Q276" s="10">
        <v>22.8</v>
      </c>
      <c r="R276" s="10">
        <v>32.1</v>
      </c>
      <c r="S276" s="10">
        <v>101.2</v>
      </c>
      <c r="T276" s="10">
        <v>1</v>
      </c>
    </row>
    <row r="277" spans="1:20" x14ac:dyDescent="0.25">
      <c r="A277" s="10">
        <v>1</v>
      </c>
      <c r="B277" s="10">
        <v>14.4</v>
      </c>
      <c r="C277" s="10">
        <v>25.2</v>
      </c>
      <c r="D277" s="10">
        <v>32.200000000000003</v>
      </c>
      <c r="E277" s="10">
        <v>94.9</v>
      </c>
      <c r="F277" s="10">
        <v>0</v>
      </c>
      <c r="G277" s="5"/>
      <c r="H277" s="10">
        <v>0</v>
      </c>
      <c r="I277" s="10">
        <v>7.8</v>
      </c>
      <c r="J277" s="10">
        <v>23</v>
      </c>
      <c r="K277" s="10">
        <v>32.200000000000003</v>
      </c>
      <c r="L277" s="10">
        <v>76.099999999999994</v>
      </c>
      <c r="M277" s="10">
        <v>1</v>
      </c>
      <c r="O277" s="10">
        <v>1</v>
      </c>
      <c r="P277" s="10">
        <v>11.5</v>
      </c>
      <c r="Q277" s="10">
        <v>24.1</v>
      </c>
      <c r="R277" s="10">
        <v>30.8</v>
      </c>
      <c r="S277" s="10">
        <v>74.7</v>
      </c>
      <c r="T277" s="10">
        <v>1</v>
      </c>
    </row>
    <row r="278" spans="1:20" x14ac:dyDescent="0.25">
      <c r="A278" s="10">
        <v>0</v>
      </c>
      <c r="B278" s="10">
        <v>14</v>
      </c>
      <c r="C278" s="10">
        <v>18.2</v>
      </c>
      <c r="D278" s="10">
        <v>29.6</v>
      </c>
      <c r="E278" s="10">
        <v>77.599999999999994</v>
      </c>
      <c r="F278" s="10">
        <v>0</v>
      </c>
      <c r="G278" s="5"/>
      <c r="H278" s="10">
        <v>0</v>
      </c>
      <c r="I278" s="10">
        <v>11.7</v>
      </c>
      <c r="J278" s="10">
        <v>19.3</v>
      </c>
      <c r="K278" s="10">
        <v>30.3</v>
      </c>
      <c r="L278" s="10">
        <v>83.3</v>
      </c>
      <c r="M278" s="10">
        <v>1</v>
      </c>
      <c r="O278" s="10">
        <v>1</v>
      </c>
      <c r="P278" s="10">
        <v>13.1</v>
      </c>
      <c r="Q278" s="10">
        <v>25.6</v>
      </c>
      <c r="R278" s="10">
        <v>28.4</v>
      </c>
      <c r="S278" s="10">
        <v>77.5</v>
      </c>
      <c r="T278" s="10">
        <v>1</v>
      </c>
    </row>
    <row r="279" spans="1:20" x14ac:dyDescent="0.25">
      <c r="A279" s="10">
        <v>0</v>
      </c>
      <c r="B279" s="10">
        <v>16.8</v>
      </c>
      <c r="C279" s="10">
        <v>24.4</v>
      </c>
      <c r="D279" s="10">
        <v>28.2</v>
      </c>
      <c r="E279" s="10">
        <v>74.8</v>
      </c>
      <c r="F279" s="10">
        <v>0</v>
      </c>
      <c r="G279" s="5"/>
      <c r="H279" s="10">
        <v>0</v>
      </c>
      <c r="I279" s="10">
        <v>10.4</v>
      </c>
      <c r="J279" s="10">
        <v>23.5</v>
      </c>
      <c r="K279" s="10">
        <v>31.3</v>
      </c>
      <c r="L279" s="10">
        <v>85.9</v>
      </c>
      <c r="M279" s="10">
        <v>1</v>
      </c>
      <c r="O279" s="10">
        <v>0</v>
      </c>
      <c r="P279" s="10">
        <v>10.7</v>
      </c>
      <c r="Q279" s="10">
        <v>27.9</v>
      </c>
      <c r="R279" s="10">
        <v>31.3</v>
      </c>
      <c r="S279" s="10">
        <v>86.4</v>
      </c>
      <c r="T279" s="10">
        <v>1</v>
      </c>
    </row>
    <row r="280" spans="1:20" x14ac:dyDescent="0.25">
      <c r="A280" s="10">
        <v>0</v>
      </c>
      <c r="B280" s="10">
        <v>16.899999999999999</v>
      </c>
      <c r="C280" s="10">
        <v>19.3</v>
      </c>
      <c r="D280" s="10">
        <v>29.1</v>
      </c>
      <c r="E280" s="10">
        <v>82.1</v>
      </c>
      <c r="F280" s="10">
        <v>0</v>
      </c>
      <c r="G280" s="5"/>
      <c r="H280" s="10">
        <v>1</v>
      </c>
      <c r="I280" s="10">
        <v>12.7</v>
      </c>
      <c r="J280" s="10">
        <v>26.4</v>
      </c>
      <c r="K280" s="10">
        <v>27.9</v>
      </c>
      <c r="L280" s="10">
        <v>101.5</v>
      </c>
      <c r="M280" s="10">
        <v>1</v>
      </c>
      <c r="O280" s="10">
        <v>1</v>
      </c>
      <c r="P280" s="10">
        <v>11.7</v>
      </c>
      <c r="Q280" s="10">
        <v>24.5</v>
      </c>
      <c r="R280" s="10">
        <v>31.1</v>
      </c>
      <c r="S280" s="10">
        <v>86.1</v>
      </c>
      <c r="T280" s="10">
        <v>1</v>
      </c>
    </row>
    <row r="281" spans="1:20" x14ac:dyDescent="0.25">
      <c r="A281" s="10">
        <v>0</v>
      </c>
      <c r="B281" s="10">
        <v>15</v>
      </c>
      <c r="C281" s="10">
        <v>19.5</v>
      </c>
      <c r="D281" s="10">
        <v>31.3</v>
      </c>
      <c r="E281" s="10">
        <v>71.900000000000006</v>
      </c>
      <c r="F281" s="10">
        <v>0</v>
      </c>
      <c r="G281" s="5"/>
      <c r="H281" s="10">
        <v>1</v>
      </c>
      <c r="I281" s="10">
        <v>11.9</v>
      </c>
      <c r="J281" s="10">
        <v>28.8</v>
      </c>
      <c r="K281" s="10">
        <v>28.4</v>
      </c>
      <c r="L281" s="10">
        <v>86.4</v>
      </c>
      <c r="M281" s="10">
        <v>1</v>
      </c>
      <c r="O281" s="10">
        <v>1</v>
      </c>
      <c r="P281" s="10">
        <v>13.3</v>
      </c>
      <c r="Q281" s="10">
        <v>25.1</v>
      </c>
      <c r="R281" s="10">
        <v>30.6</v>
      </c>
      <c r="S281" s="10">
        <v>73.7</v>
      </c>
      <c r="T281" s="10">
        <v>1</v>
      </c>
    </row>
    <row r="282" spans="1:20" x14ac:dyDescent="0.25">
      <c r="A282" s="10">
        <v>0</v>
      </c>
      <c r="B282" s="10">
        <v>13.6</v>
      </c>
      <c r="C282" s="10">
        <v>28.8</v>
      </c>
      <c r="D282" s="10">
        <v>32.5</v>
      </c>
      <c r="E282" s="10">
        <v>99.6</v>
      </c>
      <c r="F282" s="10">
        <v>0</v>
      </c>
      <c r="G282" s="5"/>
      <c r="H282" s="10">
        <v>1</v>
      </c>
      <c r="I282" s="10">
        <v>12.4</v>
      </c>
      <c r="J282" s="10">
        <v>24.8</v>
      </c>
      <c r="K282" s="10">
        <v>29.6</v>
      </c>
      <c r="L282" s="10">
        <v>93.4</v>
      </c>
      <c r="M282" s="10">
        <v>1</v>
      </c>
      <c r="O282" s="10">
        <v>0</v>
      </c>
      <c r="P282" s="10">
        <v>11.2</v>
      </c>
      <c r="Q282" s="10">
        <v>16.600000000000001</v>
      </c>
      <c r="R282" s="10">
        <v>30.2</v>
      </c>
      <c r="S282" s="10">
        <v>79.8</v>
      </c>
      <c r="T282" s="10">
        <v>1</v>
      </c>
    </row>
    <row r="283" spans="1:20" x14ac:dyDescent="0.25">
      <c r="A283" s="10">
        <v>0</v>
      </c>
      <c r="B283" s="10">
        <v>16</v>
      </c>
      <c r="C283" s="10">
        <v>23.6</v>
      </c>
      <c r="D283" s="10">
        <v>29.4</v>
      </c>
      <c r="E283" s="10">
        <v>95.6</v>
      </c>
      <c r="F283" s="10">
        <v>0</v>
      </c>
      <c r="G283" s="5"/>
      <c r="H283" s="10">
        <v>0</v>
      </c>
      <c r="I283" s="10">
        <v>11.5</v>
      </c>
      <c r="J283" s="10">
        <v>22.9</v>
      </c>
      <c r="K283" s="10">
        <v>28.8</v>
      </c>
      <c r="L283" s="10">
        <v>72</v>
      </c>
      <c r="M283" s="10">
        <v>1</v>
      </c>
      <c r="O283" s="10">
        <v>1</v>
      </c>
      <c r="P283" s="10">
        <v>11</v>
      </c>
      <c r="Q283" s="10">
        <v>25</v>
      </c>
      <c r="R283" s="10">
        <v>30.4</v>
      </c>
      <c r="S283" s="10">
        <v>81.400000000000006</v>
      </c>
      <c r="T283" s="10">
        <v>1</v>
      </c>
    </row>
    <row r="284" spans="1:20" x14ac:dyDescent="0.25">
      <c r="A284" s="10">
        <v>0</v>
      </c>
      <c r="B284" s="10">
        <v>13.2</v>
      </c>
      <c r="C284" s="10">
        <v>25.6</v>
      </c>
      <c r="D284" s="10">
        <v>31.1</v>
      </c>
      <c r="E284" s="10">
        <v>100.4</v>
      </c>
      <c r="F284" s="10">
        <v>0</v>
      </c>
      <c r="G284" s="5"/>
      <c r="H284" s="10">
        <v>1</v>
      </c>
      <c r="I284" s="10">
        <v>9.6</v>
      </c>
      <c r="J284" s="10">
        <v>23</v>
      </c>
      <c r="K284" s="10">
        <v>30.3</v>
      </c>
      <c r="L284" s="10">
        <v>87.7</v>
      </c>
      <c r="M284" s="10">
        <v>1</v>
      </c>
      <c r="O284" s="10">
        <v>1</v>
      </c>
      <c r="P284" s="10">
        <v>13</v>
      </c>
      <c r="Q284" s="10">
        <v>28.6</v>
      </c>
      <c r="R284" s="10">
        <v>32.200000000000003</v>
      </c>
      <c r="S284" s="10">
        <v>69.8</v>
      </c>
      <c r="T284" s="10">
        <v>1</v>
      </c>
    </row>
    <row r="285" spans="1:20" x14ac:dyDescent="0.25">
      <c r="A285" s="10">
        <v>0</v>
      </c>
      <c r="B285" s="10">
        <v>13</v>
      </c>
      <c r="C285" s="10">
        <v>26.2</v>
      </c>
      <c r="D285" s="10">
        <v>31.3</v>
      </c>
      <c r="E285" s="10">
        <v>74.900000000000006</v>
      </c>
      <c r="F285" s="10">
        <v>0</v>
      </c>
      <c r="G285" s="5"/>
      <c r="H285" s="10">
        <v>1</v>
      </c>
      <c r="I285" s="10">
        <v>10.7</v>
      </c>
      <c r="J285" s="10">
        <v>18.5</v>
      </c>
      <c r="K285" s="10">
        <v>28.4</v>
      </c>
      <c r="L285" s="10">
        <v>91.6</v>
      </c>
      <c r="M285" s="10">
        <v>1</v>
      </c>
      <c r="O285" s="10">
        <v>0</v>
      </c>
      <c r="P285" s="10">
        <v>11.6</v>
      </c>
      <c r="Q285" s="10">
        <v>17.5</v>
      </c>
      <c r="R285" s="10">
        <v>31.6</v>
      </c>
      <c r="S285" s="10">
        <v>70.5</v>
      </c>
      <c r="T285" s="10">
        <v>1</v>
      </c>
    </row>
    <row r="286" spans="1:20" x14ac:dyDescent="0.25">
      <c r="A286" s="10">
        <v>0</v>
      </c>
      <c r="B286" s="10">
        <v>14.3</v>
      </c>
      <c r="C286" s="10">
        <v>16.2</v>
      </c>
      <c r="D286" s="10">
        <v>29.5</v>
      </c>
      <c r="E286" s="10">
        <v>95.2</v>
      </c>
      <c r="F286" s="10">
        <v>0</v>
      </c>
      <c r="G286" s="5"/>
      <c r="H286" s="10">
        <v>1</v>
      </c>
      <c r="I286" s="10">
        <v>11.5</v>
      </c>
      <c r="J286" s="10">
        <v>18.5</v>
      </c>
      <c r="K286" s="10">
        <v>31.5</v>
      </c>
      <c r="L286" s="10">
        <v>72.2</v>
      </c>
      <c r="M286" s="10">
        <v>1</v>
      </c>
      <c r="O286" s="10">
        <v>1</v>
      </c>
      <c r="P286" s="10">
        <v>11.1</v>
      </c>
      <c r="Q286" s="10">
        <v>22.1</v>
      </c>
      <c r="R286" s="10">
        <v>29.4</v>
      </c>
      <c r="S286" s="10">
        <v>97</v>
      </c>
      <c r="T286" s="10">
        <v>1</v>
      </c>
    </row>
    <row r="287" spans="1:20" x14ac:dyDescent="0.25">
      <c r="A287" s="10">
        <v>1</v>
      </c>
      <c r="B287" s="10">
        <v>15.1</v>
      </c>
      <c r="C287" s="10">
        <v>21.3</v>
      </c>
      <c r="D287" s="10">
        <v>32.4</v>
      </c>
      <c r="E287" s="10">
        <v>100.6</v>
      </c>
      <c r="F287" s="10">
        <v>0</v>
      </c>
      <c r="G287" s="5"/>
      <c r="H287" s="10">
        <v>1</v>
      </c>
      <c r="I287" s="10">
        <v>11.9</v>
      </c>
      <c r="J287" s="10">
        <v>22.3</v>
      </c>
      <c r="K287" s="10">
        <v>28.6</v>
      </c>
      <c r="L287" s="10">
        <v>89.5</v>
      </c>
      <c r="M287" s="10">
        <v>1</v>
      </c>
      <c r="O287" s="10">
        <v>1</v>
      </c>
      <c r="P287" s="10">
        <v>12.4</v>
      </c>
      <c r="Q287" s="10">
        <v>19</v>
      </c>
      <c r="R287" s="10">
        <v>31.9</v>
      </c>
      <c r="S287" s="10">
        <v>73.7</v>
      </c>
      <c r="T287" s="10">
        <v>1</v>
      </c>
    </row>
    <row r="288" spans="1:20" x14ac:dyDescent="0.25">
      <c r="A288" s="10">
        <v>1</v>
      </c>
      <c r="B288" s="10">
        <v>14.8</v>
      </c>
      <c r="C288" s="10">
        <v>19.5</v>
      </c>
      <c r="D288" s="10">
        <v>32.200000000000003</v>
      </c>
      <c r="E288" s="10">
        <v>72.099999999999994</v>
      </c>
      <c r="F288" s="10">
        <v>0</v>
      </c>
      <c r="G288" s="5"/>
      <c r="H288" s="10">
        <v>0</v>
      </c>
      <c r="I288" s="10">
        <v>10.5</v>
      </c>
      <c r="J288" s="10">
        <v>17.899999999999999</v>
      </c>
      <c r="K288" s="10">
        <v>29.1</v>
      </c>
      <c r="L288" s="10">
        <v>80.900000000000006</v>
      </c>
      <c r="M288" s="10">
        <v>1</v>
      </c>
      <c r="O288" s="10">
        <v>1</v>
      </c>
      <c r="P288" s="10">
        <v>12.7</v>
      </c>
      <c r="Q288" s="10">
        <v>29</v>
      </c>
      <c r="R288" s="10">
        <v>31.6</v>
      </c>
      <c r="S288" s="10">
        <v>78.599999999999994</v>
      </c>
      <c r="T288" s="10">
        <v>1</v>
      </c>
    </row>
    <row r="289" spans="1:20" x14ac:dyDescent="0.25">
      <c r="A289" s="10">
        <v>0</v>
      </c>
      <c r="B289" s="10">
        <v>9</v>
      </c>
      <c r="C289" s="10">
        <v>21.5</v>
      </c>
      <c r="D289" s="10">
        <v>29.6</v>
      </c>
      <c r="E289" s="10">
        <v>71.2</v>
      </c>
      <c r="F289" s="10">
        <v>1</v>
      </c>
      <c r="G289" s="5"/>
      <c r="H289" s="10">
        <v>1</v>
      </c>
      <c r="I289" s="10">
        <v>12</v>
      </c>
      <c r="J289" s="10">
        <v>18</v>
      </c>
      <c r="K289" s="10">
        <v>31.2</v>
      </c>
      <c r="L289" s="10">
        <v>80.3</v>
      </c>
      <c r="M289" s="10">
        <v>1</v>
      </c>
      <c r="O289" s="10">
        <v>1</v>
      </c>
      <c r="P289" s="10">
        <v>10.9</v>
      </c>
      <c r="Q289" s="10">
        <v>29.4</v>
      </c>
      <c r="R289" s="10">
        <v>31.1</v>
      </c>
      <c r="S289" s="10">
        <v>91.7</v>
      </c>
      <c r="T289" s="10">
        <v>1</v>
      </c>
    </row>
    <row r="290" spans="1:20" x14ac:dyDescent="0.25">
      <c r="A290" s="10">
        <v>0</v>
      </c>
      <c r="B290" s="10">
        <v>11.6</v>
      </c>
      <c r="C290" s="10">
        <v>22.3</v>
      </c>
      <c r="D290" s="10">
        <v>30.9</v>
      </c>
      <c r="E290" s="10">
        <v>74.5</v>
      </c>
      <c r="F290" s="10">
        <v>1</v>
      </c>
      <c r="G290" s="5"/>
      <c r="H290" s="10">
        <v>0</v>
      </c>
      <c r="I290" s="10">
        <v>10</v>
      </c>
      <c r="J290" s="10">
        <v>29.8</v>
      </c>
      <c r="K290" s="10">
        <v>32</v>
      </c>
      <c r="L290" s="10">
        <v>92.1</v>
      </c>
      <c r="M290" s="10">
        <v>1</v>
      </c>
      <c r="O290" s="10">
        <v>1</v>
      </c>
      <c r="P290" s="10">
        <v>11.5</v>
      </c>
      <c r="Q290" s="10">
        <v>21.4</v>
      </c>
      <c r="R290" s="10">
        <v>28.7</v>
      </c>
      <c r="S290" s="10">
        <v>98.6</v>
      </c>
      <c r="T290" s="10">
        <v>1</v>
      </c>
    </row>
    <row r="291" spans="1:20" x14ac:dyDescent="0.25">
      <c r="A291" s="10">
        <v>1</v>
      </c>
      <c r="B291" s="10">
        <v>12.7</v>
      </c>
      <c r="C291" s="10">
        <v>19.5</v>
      </c>
      <c r="D291" s="10">
        <v>28.9</v>
      </c>
      <c r="E291" s="10">
        <v>82.9</v>
      </c>
      <c r="F291" s="10">
        <v>1</v>
      </c>
      <c r="G291" s="5"/>
      <c r="H291" s="10">
        <v>0</v>
      </c>
      <c r="I291" s="10">
        <v>11.2</v>
      </c>
      <c r="J291" s="10">
        <v>26</v>
      </c>
      <c r="K291" s="10">
        <v>29.8</v>
      </c>
      <c r="L291" s="10">
        <v>73</v>
      </c>
      <c r="M291" s="10">
        <v>1</v>
      </c>
      <c r="O291" s="10">
        <v>1</v>
      </c>
      <c r="P291" s="10">
        <v>12.8</v>
      </c>
      <c r="Q291" s="10">
        <v>17.8</v>
      </c>
      <c r="R291" s="10">
        <v>29.1</v>
      </c>
      <c r="S291" s="10">
        <v>79.400000000000006</v>
      </c>
      <c r="T291" s="10">
        <v>1</v>
      </c>
    </row>
    <row r="292" spans="1:20" x14ac:dyDescent="0.25">
      <c r="A292" s="10">
        <v>1</v>
      </c>
      <c r="B292" s="10">
        <v>12.7</v>
      </c>
      <c r="C292" s="10">
        <v>28.5</v>
      </c>
      <c r="D292" s="10">
        <v>28.2</v>
      </c>
      <c r="E292" s="10">
        <v>92.3</v>
      </c>
      <c r="F292" s="10">
        <v>1</v>
      </c>
      <c r="G292" s="5"/>
      <c r="H292" s="10">
        <v>1</v>
      </c>
      <c r="I292" s="10">
        <v>13.4</v>
      </c>
      <c r="J292" s="10">
        <v>26.6</v>
      </c>
      <c r="K292" s="10">
        <v>28.3</v>
      </c>
      <c r="L292" s="10">
        <v>88.6</v>
      </c>
      <c r="M292" s="10">
        <v>1</v>
      </c>
      <c r="O292" s="10">
        <v>1</v>
      </c>
      <c r="P292" s="10">
        <v>12.1</v>
      </c>
      <c r="Q292" s="10">
        <v>21.7</v>
      </c>
      <c r="R292" s="10">
        <v>30.9</v>
      </c>
      <c r="S292" s="10">
        <v>70.8</v>
      </c>
      <c r="T292" s="10">
        <v>1</v>
      </c>
    </row>
    <row r="293" spans="1:20" x14ac:dyDescent="0.25">
      <c r="A293" s="10">
        <v>1</v>
      </c>
      <c r="B293" s="10">
        <v>13</v>
      </c>
      <c r="C293" s="10">
        <v>18.3</v>
      </c>
      <c r="D293" s="10">
        <v>29.6</v>
      </c>
      <c r="E293" s="10">
        <v>87.8</v>
      </c>
      <c r="F293" s="10">
        <v>1</v>
      </c>
      <c r="G293" s="5"/>
      <c r="H293" s="10">
        <v>0</v>
      </c>
      <c r="I293" s="10">
        <v>8.6</v>
      </c>
      <c r="J293" s="10">
        <v>29.3</v>
      </c>
      <c r="K293" s="10">
        <v>28.9</v>
      </c>
      <c r="L293" s="10">
        <v>88.3</v>
      </c>
      <c r="M293" s="10">
        <v>1</v>
      </c>
      <c r="O293" s="10">
        <v>0</v>
      </c>
      <c r="P293" s="10">
        <v>11.1</v>
      </c>
      <c r="Q293" s="10">
        <v>29.8</v>
      </c>
      <c r="R293" s="10">
        <v>29.2</v>
      </c>
      <c r="S293" s="10">
        <v>78</v>
      </c>
      <c r="T293" s="10">
        <v>1</v>
      </c>
    </row>
    <row r="294" spans="1:20" x14ac:dyDescent="0.25">
      <c r="A294" s="10">
        <v>1</v>
      </c>
      <c r="B294" s="10">
        <v>12.3</v>
      </c>
      <c r="C294" s="10">
        <v>21.8</v>
      </c>
      <c r="D294" s="10">
        <v>27.8</v>
      </c>
      <c r="E294" s="10">
        <v>77.900000000000006</v>
      </c>
      <c r="F294" s="10">
        <v>1</v>
      </c>
      <c r="G294" s="5"/>
      <c r="H294" s="10">
        <v>0</v>
      </c>
      <c r="I294" s="10">
        <v>7.5</v>
      </c>
      <c r="J294" s="10">
        <v>28.8</v>
      </c>
      <c r="K294" s="10">
        <v>30.8</v>
      </c>
      <c r="L294" s="10">
        <v>86.4</v>
      </c>
      <c r="M294" s="10">
        <v>1</v>
      </c>
      <c r="O294" s="10">
        <v>1</v>
      </c>
      <c r="P294" s="10">
        <v>11.7</v>
      </c>
      <c r="Q294" s="10">
        <v>28.1</v>
      </c>
      <c r="R294" s="10">
        <v>31.9</v>
      </c>
      <c r="S294" s="10">
        <v>72.7</v>
      </c>
      <c r="T294" s="10">
        <v>1</v>
      </c>
    </row>
    <row r="295" spans="1:20" x14ac:dyDescent="0.25">
      <c r="A295" s="10">
        <v>0</v>
      </c>
      <c r="B295" s="10">
        <v>6.9</v>
      </c>
      <c r="C295" s="10">
        <v>28.1</v>
      </c>
      <c r="D295" s="10">
        <v>32.5</v>
      </c>
      <c r="E295" s="10">
        <v>94.6</v>
      </c>
      <c r="F295" s="10">
        <v>1</v>
      </c>
      <c r="G295" s="5"/>
      <c r="H295" s="10">
        <v>1</v>
      </c>
      <c r="I295" s="10">
        <v>12.4</v>
      </c>
      <c r="J295" s="10">
        <v>21.7</v>
      </c>
      <c r="K295" s="10">
        <v>31.9</v>
      </c>
      <c r="L295" s="10">
        <v>90.9</v>
      </c>
      <c r="M295" s="10">
        <v>1</v>
      </c>
      <c r="O295" s="10">
        <v>1</v>
      </c>
      <c r="P295" s="10">
        <v>13.1</v>
      </c>
      <c r="Q295" s="10">
        <v>22.2</v>
      </c>
      <c r="R295" s="10">
        <v>31.5</v>
      </c>
      <c r="S295" s="10">
        <v>87.3</v>
      </c>
      <c r="T295" s="10">
        <v>1</v>
      </c>
    </row>
    <row r="296" spans="1:20" x14ac:dyDescent="0.25">
      <c r="A296" s="10">
        <v>1</v>
      </c>
      <c r="B296" s="10">
        <v>11.8</v>
      </c>
      <c r="C296" s="10">
        <v>16.3</v>
      </c>
      <c r="D296" s="10">
        <v>30.9</v>
      </c>
      <c r="E296" s="10">
        <v>78.7</v>
      </c>
      <c r="F296" s="10">
        <v>1</v>
      </c>
      <c r="G296" s="5"/>
      <c r="H296" s="10">
        <v>1</v>
      </c>
      <c r="I296" s="10">
        <v>10.8</v>
      </c>
      <c r="J296" s="10">
        <v>26.7</v>
      </c>
      <c r="K296" s="10">
        <v>31.6</v>
      </c>
      <c r="L296" s="10">
        <v>98.3</v>
      </c>
      <c r="M296" s="10">
        <v>1</v>
      </c>
      <c r="O296" s="10">
        <v>1</v>
      </c>
      <c r="P296" s="10">
        <v>11.1</v>
      </c>
      <c r="Q296" s="10">
        <v>21.2</v>
      </c>
      <c r="R296" s="10">
        <v>31</v>
      </c>
      <c r="S296" s="10">
        <v>87</v>
      </c>
      <c r="T296" s="10">
        <v>1</v>
      </c>
    </row>
    <row r="297" spans="1:20" x14ac:dyDescent="0.25">
      <c r="A297" s="10">
        <v>1</v>
      </c>
      <c r="B297" s="10">
        <v>11</v>
      </c>
      <c r="C297" s="10">
        <v>26</v>
      </c>
      <c r="D297" s="10">
        <v>32.200000000000003</v>
      </c>
      <c r="E297" s="10">
        <v>98.9</v>
      </c>
      <c r="F297" s="10">
        <v>1</v>
      </c>
      <c r="G297" s="5"/>
      <c r="H297" s="10">
        <v>0</v>
      </c>
      <c r="I297" s="10">
        <v>11.9</v>
      </c>
      <c r="J297" s="10">
        <v>16.7</v>
      </c>
      <c r="K297" s="10">
        <v>31.9</v>
      </c>
      <c r="L297" s="10">
        <v>74.099999999999994</v>
      </c>
      <c r="M297" s="10">
        <v>1</v>
      </c>
      <c r="O297" s="10">
        <v>1</v>
      </c>
      <c r="P297" s="10">
        <v>12.4</v>
      </c>
      <c r="Q297" s="10">
        <v>23.3</v>
      </c>
      <c r="R297" s="10">
        <v>31.3</v>
      </c>
      <c r="S297" s="10">
        <v>70.099999999999994</v>
      </c>
      <c r="T297" s="10">
        <v>1</v>
      </c>
    </row>
    <row r="298" spans="1:20" x14ac:dyDescent="0.25">
      <c r="A298" s="10">
        <v>1</v>
      </c>
      <c r="B298" s="10">
        <v>11</v>
      </c>
      <c r="C298" s="10">
        <v>25.2</v>
      </c>
      <c r="D298" s="10">
        <v>30.9</v>
      </c>
      <c r="E298" s="10">
        <v>83.2</v>
      </c>
      <c r="F298" s="10">
        <v>1</v>
      </c>
      <c r="G298" s="5"/>
      <c r="H298" s="10">
        <v>1</v>
      </c>
      <c r="I298" s="10">
        <v>15.2</v>
      </c>
      <c r="J298" s="10">
        <v>19.8</v>
      </c>
      <c r="K298" s="10">
        <v>28.5</v>
      </c>
      <c r="L298" s="10">
        <v>83.7</v>
      </c>
      <c r="M298" s="10">
        <v>0</v>
      </c>
      <c r="O298" s="10">
        <v>0</v>
      </c>
      <c r="P298" s="10">
        <v>11.2</v>
      </c>
      <c r="Q298" s="10">
        <v>20.100000000000001</v>
      </c>
      <c r="R298" s="10">
        <v>30.8</v>
      </c>
      <c r="S298" s="10">
        <v>76.400000000000006</v>
      </c>
      <c r="T298" s="10">
        <v>1</v>
      </c>
    </row>
    <row r="299" spans="1:20" x14ac:dyDescent="0.25">
      <c r="A299" s="10">
        <v>0</v>
      </c>
      <c r="B299" s="10">
        <v>10.7</v>
      </c>
      <c r="C299" s="10">
        <v>21.3</v>
      </c>
      <c r="D299" s="10">
        <v>29.1</v>
      </c>
      <c r="E299" s="10">
        <v>78.7</v>
      </c>
      <c r="F299" s="10">
        <v>1</v>
      </c>
      <c r="G299" s="5"/>
      <c r="H299" s="10">
        <v>0</v>
      </c>
      <c r="I299" s="10">
        <v>15.3</v>
      </c>
      <c r="J299" s="10">
        <v>18.3</v>
      </c>
      <c r="K299" s="10">
        <v>30.4</v>
      </c>
      <c r="L299" s="10">
        <v>93.4</v>
      </c>
      <c r="M299" s="10">
        <v>0</v>
      </c>
      <c r="O299" s="10">
        <v>1</v>
      </c>
      <c r="P299" s="10">
        <v>10.4</v>
      </c>
      <c r="Q299" s="10">
        <v>18.899999999999999</v>
      </c>
      <c r="R299" s="10">
        <v>27.8</v>
      </c>
      <c r="S299" s="10">
        <v>75.099999999999994</v>
      </c>
      <c r="T299" s="10">
        <v>1</v>
      </c>
    </row>
    <row r="300" spans="1:20" x14ac:dyDescent="0.25">
      <c r="A300" s="10">
        <v>0</v>
      </c>
      <c r="B300" s="10">
        <v>11.2</v>
      </c>
      <c r="C300" s="10">
        <v>16.100000000000001</v>
      </c>
      <c r="D300" s="10">
        <v>30.3</v>
      </c>
      <c r="E300" s="10">
        <v>82.6</v>
      </c>
      <c r="F300" s="10">
        <v>1</v>
      </c>
      <c r="G300" s="5"/>
      <c r="H300" s="10">
        <v>1</v>
      </c>
      <c r="I300" s="10">
        <v>12.5</v>
      </c>
      <c r="J300" s="10">
        <v>22.2</v>
      </c>
      <c r="K300" s="10">
        <v>27.9</v>
      </c>
      <c r="L300" s="10">
        <v>89.4</v>
      </c>
      <c r="M300" s="10">
        <v>1</v>
      </c>
      <c r="O300" s="10">
        <v>1</v>
      </c>
      <c r="P300" s="10">
        <v>12</v>
      </c>
      <c r="Q300" s="10">
        <v>17.2</v>
      </c>
      <c r="R300" s="10">
        <v>31.3</v>
      </c>
      <c r="S300" s="10">
        <v>77.400000000000006</v>
      </c>
      <c r="T300" s="10">
        <v>1</v>
      </c>
    </row>
    <row r="301" spans="1:20" x14ac:dyDescent="0.25">
      <c r="A301" s="10">
        <v>0</v>
      </c>
      <c r="B301" s="10">
        <v>11</v>
      </c>
      <c r="C301" s="10">
        <v>17</v>
      </c>
      <c r="D301" s="10">
        <v>29.5</v>
      </c>
      <c r="E301" s="10">
        <v>75.3</v>
      </c>
      <c r="F301" s="10">
        <v>1</v>
      </c>
      <c r="G301" s="5"/>
      <c r="H301" s="10">
        <v>1</v>
      </c>
      <c r="I301" s="10">
        <v>15.2</v>
      </c>
      <c r="J301" s="10">
        <v>29</v>
      </c>
      <c r="K301" s="10">
        <v>28.2</v>
      </c>
      <c r="L301" s="10">
        <v>90.2</v>
      </c>
      <c r="M301" s="10">
        <v>0</v>
      </c>
      <c r="O301" s="10">
        <v>0</v>
      </c>
      <c r="P301" s="10">
        <v>11.5</v>
      </c>
      <c r="Q301" s="10">
        <v>16.2</v>
      </c>
      <c r="R301" s="10">
        <v>30.9</v>
      </c>
      <c r="S301" s="10">
        <v>100.8</v>
      </c>
      <c r="T301" s="10">
        <v>1</v>
      </c>
    </row>
    <row r="302" spans="1:20" x14ac:dyDescent="0.25">
      <c r="A302" s="10">
        <v>0</v>
      </c>
      <c r="B302" s="10">
        <v>11.9</v>
      </c>
      <c r="C302" s="10">
        <v>29.5</v>
      </c>
      <c r="D302" s="10">
        <v>32.200000000000003</v>
      </c>
      <c r="E302" s="10">
        <v>87.8</v>
      </c>
      <c r="F302" s="10">
        <v>1</v>
      </c>
      <c r="G302" s="5"/>
      <c r="H302" s="10">
        <v>0</v>
      </c>
      <c r="I302" s="10">
        <v>14.6</v>
      </c>
      <c r="J302" s="10">
        <v>16.899999999999999</v>
      </c>
      <c r="K302" s="10">
        <v>31.9</v>
      </c>
      <c r="L302" s="10">
        <v>78.099999999999994</v>
      </c>
      <c r="M302" s="10">
        <v>0</v>
      </c>
      <c r="O302" s="10">
        <v>1</v>
      </c>
      <c r="P302" s="10">
        <v>10.5</v>
      </c>
      <c r="Q302" s="10">
        <v>25.3</v>
      </c>
      <c r="R302" s="10">
        <v>27.9</v>
      </c>
      <c r="S302" s="10">
        <v>77.099999999999994</v>
      </c>
      <c r="T302" s="10">
        <v>1</v>
      </c>
    </row>
    <row r="303" spans="1:20" x14ac:dyDescent="0.25">
      <c r="A303" s="10">
        <v>0</v>
      </c>
      <c r="B303" s="10">
        <v>11.6</v>
      </c>
      <c r="C303" s="10">
        <v>19.399999999999999</v>
      </c>
      <c r="D303" s="10">
        <v>30.1</v>
      </c>
      <c r="E303" s="10">
        <v>85.3</v>
      </c>
      <c r="F303" s="10">
        <v>1</v>
      </c>
      <c r="G303" s="5"/>
      <c r="H303" s="10">
        <v>1</v>
      </c>
      <c r="I303" s="10">
        <v>13.6</v>
      </c>
      <c r="J303" s="10">
        <v>22.2</v>
      </c>
      <c r="K303" s="10">
        <v>29.6</v>
      </c>
      <c r="L303" s="10">
        <v>96.3</v>
      </c>
      <c r="M303" s="10">
        <v>0</v>
      </c>
      <c r="O303" s="10">
        <v>1</v>
      </c>
      <c r="P303" s="10">
        <v>12.5</v>
      </c>
      <c r="Q303" s="10">
        <v>25.6</v>
      </c>
      <c r="R303" s="10">
        <v>29.9</v>
      </c>
      <c r="S303" s="10">
        <v>79.099999999999994</v>
      </c>
      <c r="T303" s="10">
        <v>1</v>
      </c>
    </row>
    <row r="304" spans="1:20" x14ac:dyDescent="0.25">
      <c r="A304" s="10">
        <v>1</v>
      </c>
      <c r="B304" s="10">
        <v>12.8</v>
      </c>
      <c r="C304" s="10">
        <v>21.2</v>
      </c>
      <c r="D304" s="10">
        <v>31.7</v>
      </c>
      <c r="E304" s="10">
        <v>73.3</v>
      </c>
      <c r="F304" s="10">
        <v>1</v>
      </c>
      <c r="G304" s="5"/>
      <c r="H304" s="10">
        <v>1</v>
      </c>
      <c r="I304" s="10">
        <v>13.5</v>
      </c>
      <c r="J304" s="10">
        <v>19.8</v>
      </c>
      <c r="K304" s="10">
        <v>32.299999999999997</v>
      </c>
      <c r="L304" s="10">
        <v>89.4</v>
      </c>
      <c r="M304" s="10">
        <v>0</v>
      </c>
      <c r="O304" s="10">
        <v>0</v>
      </c>
      <c r="P304" s="10">
        <v>10.7</v>
      </c>
      <c r="Q304" s="10">
        <v>22.6</v>
      </c>
      <c r="R304" s="10">
        <v>30.2</v>
      </c>
      <c r="S304" s="10">
        <v>101.5</v>
      </c>
      <c r="T304" s="10">
        <v>1</v>
      </c>
    </row>
    <row r="305" spans="1:20" x14ac:dyDescent="0.25">
      <c r="A305" s="10">
        <v>0</v>
      </c>
      <c r="B305" s="10">
        <v>11.7</v>
      </c>
      <c r="C305" s="10">
        <v>26.3</v>
      </c>
      <c r="D305" s="10">
        <v>30</v>
      </c>
      <c r="E305" s="10">
        <v>70.5</v>
      </c>
      <c r="F305" s="10">
        <v>1</v>
      </c>
      <c r="G305" s="5"/>
      <c r="H305" s="10">
        <v>0</v>
      </c>
      <c r="I305" s="10">
        <v>13.1</v>
      </c>
      <c r="J305" s="10">
        <v>21.4</v>
      </c>
      <c r="K305" s="10">
        <v>29.4</v>
      </c>
      <c r="L305" s="10">
        <v>73.3</v>
      </c>
      <c r="M305" s="10">
        <v>0</v>
      </c>
      <c r="O305" s="10">
        <v>1</v>
      </c>
      <c r="P305" s="10">
        <v>10.5</v>
      </c>
      <c r="Q305" s="10">
        <v>28.3</v>
      </c>
      <c r="R305" s="10">
        <v>28.7</v>
      </c>
      <c r="S305" s="10">
        <v>100.1</v>
      </c>
      <c r="T305" s="10">
        <v>1</v>
      </c>
    </row>
    <row r="306" spans="1:20" x14ac:dyDescent="0.25">
      <c r="A306" s="10">
        <v>1</v>
      </c>
      <c r="B306" s="10">
        <v>11.3</v>
      </c>
      <c r="C306" s="10">
        <v>26.7</v>
      </c>
      <c r="D306" s="10">
        <v>29.8</v>
      </c>
      <c r="E306" s="10">
        <v>92.7</v>
      </c>
      <c r="F306" s="10">
        <v>1</v>
      </c>
      <c r="G306" s="5"/>
      <c r="H306" s="10">
        <v>0</v>
      </c>
      <c r="I306" s="10">
        <v>15.2</v>
      </c>
      <c r="J306" s="10">
        <v>21.5</v>
      </c>
      <c r="K306" s="10">
        <v>32.5</v>
      </c>
      <c r="L306" s="10">
        <v>84.5</v>
      </c>
      <c r="M306" s="10">
        <v>0</v>
      </c>
      <c r="O306" s="10">
        <v>1</v>
      </c>
      <c r="P306" s="10">
        <v>12.4</v>
      </c>
      <c r="Q306" s="10">
        <v>24.5</v>
      </c>
      <c r="R306" s="10">
        <v>30.7</v>
      </c>
      <c r="S306" s="10">
        <v>93.1</v>
      </c>
      <c r="T306" s="10">
        <v>1</v>
      </c>
    </row>
    <row r="307" spans="1:20" x14ac:dyDescent="0.25">
      <c r="A307" s="10">
        <v>1</v>
      </c>
      <c r="B307" s="10">
        <v>13.1</v>
      </c>
      <c r="C307" s="10">
        <v>28.3</v>
      </c>
      <c r="D307" s="10">
        <v>29.6</v>
      </c>
      <c r="E307" s="10">
        <v>86.5</v>
      </c>
      <c r="F307" s="10">
        <v>1</v>
      </c>
      <c r="G307" s="5"/>
      <c r="H307" s="10">
        <v>1</v>
      </c>
      <c r="I307" s="10">
        <v>10.6</v>
      </c>
      <c r="J307" s="10">
        <v>29.5</v>
      </c>
      <c r="K307" s="10">
        <v>30.4</v>
      </c>
      <c r="L307" s="10">
        <v>85</v>
      </c>
      <c r="M307" s="10">
        <v>1</v>
      </c>
      <c r="O307" s="10">
        <v>0</v>
      </c>
      <c r="P307" s="10">
        <v>11.3</v>
      </c>
      <c r="Q307" s="10">
        <v>23.5</v>
      </c>
      <c r="R307" s="10">
        <v>28.4</v>
      </c>
      <c r="S307" s="10">
        <v>75.8</v>
      </c>
      <c r="T307" s="10">
        <v>1</v>
      </c>
    </row>
    <row r="308" spans="1:20" x14ac:dyDescent="0.25">
      <c r="A308" s="10">
        <v>1</v>
      </c>
      <c r="B308" s="10">
        <v>12.7</v>
      </c>
      <c r="C308" s="10">
        <v>19.100000000000001</v>
      </c>
      <c r="D308" s="10">
        <v>29.8</v>
      </c>
      <c r="E308" s="10">
        <v>84.3</v>
      </c>
      <c r="F308" s="10">
        <v>1</v>
      </c>
      <c r="G308" s="5"/>
      <c r="H308" s="10">
        <v>0</v>
      </c>
      <c r="I308" s="10">
        <v>12.9</v>
      </c>
      <c r="J308" s="10">
        <v>21.8</v>
      </c>
      <c r="K308" s="10">
        <v>31.9</v>
      </c>
      <c r="L308" s="10">
        <v>94.4</v>
      </c>
      <c r="M308" s="10">
        <v>0</v>
      </c>
      <c r="O308" s="10">
        <v>1</v>
      </c>
      <c r="P308" s="10">
        <v>13.4</v>
      </c>
      <c r="Q308" s="10">
        <v>17.7</v>
      </c>
      <c r="R308" s="10">
        <v>30.2</v>
      </c>
      <c r="S308" s="10">
        <v>79</v>
      </c>
      <c r="T308" s="10">
        <v>1</v>
      </c>
    </row>
    <row r="309" spans="1:20" x14ac:dyDescent="0.25">
      <c r="A309" s="10">
        <v>1</v>
      </c>
      <c r="B309" s="10">
        <v>10.8</v>
      </c>
      <c r="C309" s="10">
        <v>16.8</v>
      </c>
      <c r="D309" s="10">
        <v>30.6</v>
      </c>
      <c r="E309" s="10">
        <v>79.599999999999994</v>
      </c>
      <c r="F309" s="10">
        <v>1</v>
      </c>
      <c r="G309" s="5"/>
      <c r="H309" s="10">
        <v>1</v>
      </c>
      <c r="I309" s="10">
        <v>12.9</v>
      </c>
      <c r="J309" s="10">
        <v>25.7</v>
      </c>
      <c r="K309" s="10">
        <v>29.7</v>
      </c>
      <c r="L309" s="10">
        <v>80.599999999999994</v>
      </c>
      <c r="M309" s="10">
        <v>1</v>
      </c>
      <c r="O309" s="10">
        <v>1</v>
      </c>
      <c r="P309" s="10">
        <v>13.2</v>
      </c>
      <c r="Q309" s="10">
        <v>27</v>
      </c>
      <c r="R309" s="10">
        <v>31</v>
      </c>
      <c r="S309" s="10">
        <v>87.7</v>
      </c>
      <c r="T309" s="10">
        <v>1</v>
      </c>
    </row>
    <row r="310" spans="1:20" x14ac:dyDescent="0.25">
      <c r="A310" s="10">
        <v>1</v>
      </c>
      <c r="B310" s="10">
        <v>10.4</v>
      </c>
      <c r="C310" s="10">
        <v>29.6</v>
      </c>
      <c r="D310" s="10">
        <v>28.3</v>
      </c>
      <c r="E310" s="10">
        <v>101</v>
      </c>
      <c r="F310" s="10">
        <v>1</v>
      </c>
      <c r="G310" s="5"/>
      <c r="H310" s="10">
        <v>0</v>
      </c>
      <c r="I310" s="10">
        <v>16.600000000000001</v>
      </c>
      <c r="J310" s="10">
        <v>26.3</v>
      </c>
      <c r="K310" s="10">
        <v>29.8</v>
      </c>
      <c r="L310" s="10">
        <v>85.1</v>
      </c>
      <c r="M310" s="10">
        <v>0</v>
      </c>
      <c r="O310" s="10">
        <v>0</v>
      </c>
      <c r="P310" s="10">
        <v>10.3</v>
      </c>
      <c r="Q310" s="10">
        <v>20.100000000000001</v>
      </c>
      <c r="R310" s="10">
        <v>28.2</v>
      </c>
      <c r="S310" s="10">
        <v>86.3</v>
      </c>
      <c r="T310" s="10">
        <v>1</v>
      </c>
    </row>
    <row r="311" spans="1:20" x14ac:dyDescent="0.25">
      <c r="A311" s="10">
        <v>1</v>
      </c>
      <c r="B311" s="10">
        <v>11.5</v>
      </c>
      <c r="C311" s="10">
        <v>26.1</v>
      </c>
      <c r="D311" s="10">
        <v>28.6</v>
      </c>
      <c r="E311" s="10">
        <v>91</v>
      </c>
      <c r="F311" s="10">
        <v>1</v>
      </c>
      <c r="G311" s="5"/>
      <c r="H311" s="10">
        <v>1</v>
      </c>
      <c r="I311" s="10">
        <v>12.5</v>
      </c>
      <c r="J311" s="10">
        <v>24.9</v>
      </c>
      <c r="K311" s="10">
        <v>30.5</v>
      </c>
      <c r="L311" s="10">
        <v>77.3</v>
      </c>
      <c r="M311" s="10">
        <v>1</v>
      </c>
      <c r="O311" s="10">
        <v>0</v>
      </c>
      <c r="P311" s="10">
        <v>10.6</v>
      </c>
      <c r="Q311" s="10">
        <v>24.5</v>
      </c>
      <c r="R311" s="10">
        <v>28.3</v>
      </c>
      <c r="S311" s="10">
        <v>81.5</v>
      </c>
      <c r="T311" s="10">
        <v>1</v>
      </c>
    </row>
    <row r="312" spans="1:20" x14ac:dyDescent="0.25">
      <c r="A312" s="10">
        <v>1</v>
      </c>
      <c r="B312" s="10">
        <v>11.1</v>
      </c>
      <c r="C312" s="10">
        <v>22.8</v>
      </c>
      <c r="D312" s="10">
        <v>28</v>
      </c>
      <c r="E312" s="10">
        <v>97.3</v>
      </c>
      <c r="F312" s="10">
        <v>1</v>
      </c>
      <c r="G312" s="5"/>
      <c r="H312" s="10">
        <v>0</v>
      </c>
      <c r="I312" s="10">
        <v>10.5</v>
      </c>
      <c r="J312" s="10">
        <v>28.5</v>
      </c>
      <c r="K312" s="10">
        <v>32.299999999999997</v>
      </c>
      <c r="L312" s="10">
        <v>70</v>
      </c>
      <c r="M312" s="10">
        <v>1</v>
      </c>
      <c r="O312" s="10">
        <v>1</v>
      </c>
      <c r="P312" s="10">
        <v>11.8</v>
      </c>
      <c r="Q312" s="10">
        <v>24.3</v>
      </c>
      <c r="R312" s="10">
        <v>32</v>
      </c>
      <c r="S312" s="10">
        <v>80.599999999999994</v>
      </c>
      <c r="T312" s="10">
        <v>1</v>
      </c>
    </row>
    <row r="313" spans="1:20" x14ac:dyDescent="0.25">
      <c r="A313" s="10">
        <v>0</v>
      </c>
      <c r="B313" s="10">
        <v>10.4</v>
      </c>
      <c r="C313" s="10">
        <v>27.1</v>
      </c>
      <c r="D313" s="10">
        <v>29.8</v>
      </c>
      <c r="E313" s="10">
        <v>75.2</v>
      </c>
      <c r="F313" s="10">
        <v>1</v>
      </c>
      <c r="G313" s="5"/>
      <c r="H313" s="10">
        <v>1</v>
      </c>
      <c r="I313" s="10">
        <v>14.3</v>
      </c>
      <c r="J313" s="10">
        <v>27.7</v>
      </c>
      <c r="K313" s="10">
        <v>28.9</v>
      </c>
      <c r="L313" s="10">
        <v>70.3</v>
      </c>
      <c r="M313" s="10">
        <v>0</v>
      </c>
      <c r="O313" s="10">
        <v>1</v>
      </c>
      <c r="P313" s="10">
        <v>11.5</v>
      </c>
      <c r="Q313" s="10">
        <v>17</v>
      </c>
      <c r="R313" s="10">
        <v>30.6</v>
      </c>
      <c r="S313" s="10">
        <v>71</v>
      </c>
      <c r="T313" s="10">
        <v>1</v>
      </c>
    </row>
    <row r="314" spans="1:20" x14ac:dyDescent="0.25">
      <c r="A314" s="10">
        <v>1</v>
      </c>
      <c r="B314" s="10">
        <v>11.5</v>
      </c>
      <c r="C314" s="10">
        <v>21.4</v>
      </c>
      <c r="D314" s="10">
        <v>32.5</v>
      </c>
      <c r="E314" s="10">
        <v>76.599999999999994</v>
      </c>
      <c r="F314" s="10">
        <v>1</v>
      </c>
      <c r="G314" s="5"/>
      <c r="H314" s="10">
        <v>1</v>
      </c>
      <c r="I314" s="10">
        <v>14</v>
      </c>
      <c r="J314" s="10">
        <v>20.100000000000001</v>
      </c>
      <c r="K314" s="10">
        <v>32.4</v>
      </c>
      <c r="L314" s="10">
        <v>71.099999999999994</v>
      </c>
      <c r="M314" s="10">
        <v>0</v>
      </c>
      <c r="O314" s="10">
        <v>1</v>
      </c>
      <c r="P314" s="10">
        <v>13</v>
      </c>
      <c r="Q314" s="10">
        <v>19</v>
      </c>
      <c r="R314" s="10">
        <v>31.3</v>
      </c>
      <c r="S314" s="10">
        <v>77.3</v>
      </c>
      <c r="T314" s="10">
        <v>1</v>
      </c>
    </row>
    <row r="315" spans="1:20" x14ac:dyDescent="0.25">
      <c r="A315" s="10">
        <v>0</v>
      </c>
      <c r="B315" s="10">
        <v>11.2</v>
      </c>
      <c r="C315" s="10">
        <v>29.6</v>
      </c>
      <c r="D315" s="10">
        <v>30.3</v>
      </c>
      <c r="E315" s="10">
        <v>74</v>
      </c>
      <c r="F315" s="10">
        <v>1</v>
      </c>
      <c r="G315" s="5"/>
      <c r="H315" s="10">
        <v>1</v>
      </c>
      <c r="I315" s="10">
        <v>10.7</v>
      </c>
      <c r="J315" s="10">
        <v>22.7</v>
      </c>
      <c r="K315" s="10">
        <v>30.5</v>
      </c>
      <c r="L315" s="10">
        <v>86.6</v>
      </c>
      <c r="M315" s="10">
        <v>1</v>
      </c>
      <c r="O315" s="10">
        <v>0</v>
      </c>
      <c r="P315" s="10">
        <v>11.2</v>
      </c>
      <c r="Q315" s="10">
        <v>22.3</v>
      </c>
      <c r="R315" s="10">
        <v>29</v>
      </c>
      <c r="S315" s="10">
        <v>100.6</v>
      </c>
      <c r="T315" s="10">
        <v>1</v>
      </c>
    </row>
    <row r="316" spans="1:20" x14ac:dyDescent="0.25">
      <c r="A316" s="10">
        <v>1</v>
      </c>
      <c r="B316" s="10">
        <v>12.7</v>
      </c>
      <c r="C316" s="10">
        <v>23.6</v>
      </c>
      <c r="D316" s="10">
        <v>30.4</v>
      </c>
      <c r="E316" s="10">
        <v>69.8</v>
      </c>
      <c r="F316" s="10">
        <v>1</v>
      </c>
      <c r="G316" s="5"/>
      <c r="H316" s="10">
        <v>0</v>
      </c>
      <c r="I316" s="10">
        <v>14</v>
      </c>
      <c r="J316" s="10">
        <v>27.4</v>
      </c>
      <c r="K316" s="10">
        <v>31.8</v>
      </c>
      <c r="L316" s="10">
        <v>87.2</v>
      </c>
      <c r="M316" s="10">
        <v>0</v>
      </c>
      <c r="O316" s="10">
        <v>1</v>
      </c>
      <c r="P316" s="10">
        <v>11</v>
      </c>
      <c r="Q316" s="10">
        <v>29.5</v>
      </c>
      <c r="R316" s="10">
        <v>30.7</v>
      </c>
      <c r="S316" s="10">
        <v>72.599999999999994</v>
      </c>
      <c r="T316" s="10">
        <v>1</v>
      </c>
    </row>
    <row r="317" spans="1:20" x14ac:dyDescent="0.25">
      <c r="A317" s="10">
        <v>1</v>
      </c>
      <c r="B317" s="10">
        <v>11.2</v>
      </c>
      <c r="C317" s="10">
        <v>18.5</v>
      </c>
      <c r="D317" s="10">
        <v>29.3</v>
      </c>
      <c r="E317" s="10">
        <v>93.9</v>
      </c>
      <c r="F317" s="10">
        <v>1</v>
      </c>
      <c r="G317" s="5"/>
      <c r="H317" s="10">
        <v>0</v>
      </c>
      <c r="I317" s="10">
        <v>16.8</v>
      </c>
      <c r="J317" s="10">
        <v>18.5</v>
      </c>
      <c r="K317" s="10">
        <v>28.6</v>
      </c>
      <c r="L317" s="10">
        <v>96</v>
      </c>
      <c r="M317" s="10">
        <v>0</v>
      </c>
      <c r="O317" s="10">
        <v>1</v>
      </c>
      <c r="P317" s="10">
        <v>11.4</v>
      </c>
      <c r="Q317" s="10">
        <v>17.600000000000001</v>
      </c>
      <c r="R317" s="10">
        <v>30.2</v>
      </c>
      <c r="S317" s="10">
        <v>70</v>
      </c>
      <c r="T317" s="10">
        <v>1</v>
      </c>
    </row>
    <row r="318" spans="1:20" x14ac:dyDescent="0.25">
      <c r="A318" s="10">
        <v>1</v>
      </c>
      <c r="B318" s="10">
        <v>10.7</v>
      </c>
      <c r="C318" s="10">
        <v>21.3</v>
      </c>
      <c r="D318" s="10">
        <v>28.8</v>
      </c>
      <c r="E318" s="10">
        <v>78.3</v>
      </c>
      <c r="F318" s="10">
        <v>1</v>
      </c>
      <c r="G318" s="5"/>
      <c r="H318" s="10">
        <v>1</v>
      </c>
      <c r="I318" s="10">
        <v>15.5</v>
      </c>
      <c r="J318" s="10">
        <v>21.3</v>
      </c>
      <c r="K318" s="10">
        <v>28</v>
      </c>
      <c r="L318" s="10">
        <v>75.900000000000006</v>
      </c>
      <c r="M318" s="10">
        <v>0</v>
      </c>
      <c r="O318" s="10">
        <v>0</v>
      </c>
      <c r="P318" s="10">
        <v>11.1</v>
      </c>
      <c r="Q318" s="10">
        <v>18.3</v>
      </c>
      <c r="R318" s="10">
        <v>28.5</v>
      </c>
      <c r="S318" s="10">
        <v>73.3</v>
      </c>
      <c r="T318" s="10">
        <v>1</v>
      </c>
    </row>
    <row r="319" spans="1:20" x14ac:dyDescent="0.25">
      <c r="A319" s="10">
        <v>1</v>
      </c>
      <c r="B319" s="10">
        <v>10.7</v>
      </c>
      <c r="C319" s="10">
        <v>19</v>
      </c>
      <c r="D319" s="10">
        <v>32.200000000000003</v>
      </c>
      <c r="E319" s="10">
        <v>77.099999999999994</v>
      </c>
      <c r="F319" s="10">
        <v>1</v>
      </c>
      <c r="G319" s="5"/>
      <c r="H319" s="10">
        <v>1</v>
      </c>
      <c r="I319" s="10">
        <v>12.9</v>
      </c>
      <c r="J319" s="10">
        <v>28.7</v>
      </c>
      <c r="K319" s="10">
        <v>31.1</v>
      </c>
      <c r="L319" s="10">
        <v>71.3</v>
      </c>
      <c r="M319" s="10">
        <v>1</v>
      </c>
      <c r="O319" s="10">
        <v>0</v>
      </c>
      <c r="P319" s="10">
        <v>10.4</v>
      </c>
      <c r="Q319" s="10">
        <v>18.600000000000001</v>
      </c>
      <c r="R319" s="10">
        <v>29.1</v>
      </c>
      <c r="S319" s="10">
        <v>79.2</v>
      </c>
      <c r="T319" s="10">
        <v>1</v>
      </c>
    </row>
    <row r="320" spans="1:20" x14ac:dyDescent="0.25">
      <c r="A320" s="10">
        <v>0</v>
      </c>
      <c r="B320" s="10">
        <v>11.8</v>
      </c>
      <c r="C320" s="10">
        <v>18.600000000000001</v>
      </c>
      <c r="D320" s="10">
        <v>29.4</v>
      </c>
      <c r="E320" s="10">
        <v>80.2</v>
      </c>
      <c r="F320" s="10">
        <v>1</v>
      </c>
      <c r="G320" s="5"/>
      <c r="H320" s="10">
        <v>0</v>
      </c>
      <c r="I320" s="10">
        <v>12.6</v>
      </c>
      <c r="J320" s="10">
        <v>25</v>
      </c>
      <c r="K320" s="10">
        <v>28</v>
      </c>
      <c r="L320" s="10">
        <v>88.3</v>
      </c>
      <c r="M320" s="10">
        <v>0</v>
      </c>
      <c r="O320" s="10">
        <v>0</v>
      </c>
      <c r="P320" s="10">
        <v>10.5</v>
      </c>
      <c r="Q320" s="10">
        <v>18.8</v>
      </c>
      <c r="R320" s="10">
        <v>29.1</v>
      </c>
      <c r="S320" s="10">
        <v>80.599999999999994</v>
      </c>
      <c r="T320" s="10">
        <v>1</v>
      </c>
    </row>
    <row r="321" spans="1:20" x14ac:dyDescent="0.25">
      <c r="A321" s="10">
        <v>1</v>
      </c>
      <c r="B321" s="10">
        <v>12.8</v>
      </c>
      <c r="C321" s="10">
        <v>16.3</v>
      </c>
      <c r="D321" s="10">
        <v>31.1</v>
      </c>
      <c r="E321" s="10">
        <v>100.9</v>
      </c>
      <c r="F321" s="10">
        <v>1</v>
      </c>
      <c r="G321" s="5"/>
      <c r="H321" s="10">
        <v>0</v>
      </c>
      <c r="I321" s="10">
        <v>15.5</v>
      </c>
      <c r="J321" s="10">
        <v>24.1</v>
      </c>
      <c r="K321" s="10">
        <v>32.200000000000003</v>
      </c>
      <c r="L321" s="10">
        <v>97.4</v>
      </c>
      <c r="M321" s="10">
        <v>0</v>
      </c>
      <c r="O321" s="10">
        <v>1</v>
      </c>
      <c r="P321" s="10">
        <v>10.7</v>
      </c>
      <c r="Q321" s="10">
        <v>20</v>
      </c>
      <c r="R321" s="10">
        <v>29.1</v>
      </c>
      <c r="S321" s="10">
        <v>79.3</v>
      </c>
      <c r="T321" s="10">
        <v>1</v>
      </c>
    </row>
    <row r="322" spans="1:20" x14ac:dyDescent="0.25">
      <c r="A322" s="10">
        <v>0</v>
      </c>
      <c r="B322" s="10">
        <v>11.1</v>
      </c>
      <c r="C322" s="10">
        <v>24.3</v>
      </c>
      <c r="D322" s="10">
        <v>32.5</v>
      </c>
      <c r="E322" s="10">
        <v>91</v>
      </c>
      <c r="F322" s="10">
        <v>1</v>
      </c>
      <c r="G322" s="5"/>
      <c r="H322" s="10">
        <v>1</v>
      </c>
      <c r="I322" s="10">
        <v>12.8</v>
      </c>
      <c r="J322" s="10">
        <v>18.399999999999999</v>
      </c>
      <c r="K322" s="10">
        <v>31</v>
      </c>
      <c r="L322" s="10">
        <v>101.6</v>
      </c>
      <c r="M322" s="10">
        <v>1</v>
      </c>
      <c r="O322" s="10">
        <v>1</v>
      </c>
      <c r="P322" s="10">
        <v>12.6</v>
      </c>
      <c r="Q322" s="10">
        <v>22</v>
      </c>
      <c r="R322" s="10">
        <v>28.2</v>
      </c>
      <c r="S322" s="10">
        <v>99.5</v>
      </c>
      <c r="T322" s="10">
        <v>1</v>
      </c>
    </row>
    <row r="323" spans="1:20" x14ac:dyDescent="0.25">
      <c r="A323" s="10">
        <v>1</v>
      </c>
      <c r="B323" s="10">
        <v>10.9</v>
      </c>
      <c r="C323" s="10">
        <v>30</v>
      </c>
      <c r="D323" s="10">
        <v>29.8</v>
      </c>
      <c r="E323" s="10">
        <v>98.5</v>
      </c>
      <c r="F323" s="10">
        <v>1</v>
      </c>
      <c r="G323" s="5"/>
      <c r="H323" s="10">
        <v>1</v>
      </c>
      <c r="I323" s="10">
        <v>13.2</v>
      </c>
      <c r="J323" s="10">
        <v>16.2</v>
      </c>
      <c r="K323" s="10">
        <v>30.6</v>
      </c>
      <c r="L323" s="10">
        <v>70.400000000000006</v>
      </c>
      <c r="M323" s="10">
        <v>1</v>
      </c>
      <c r="O323" s="10">
        <v>0</v>
      </c>
      <c r="P323" s="10">
        <v>10.8</v>
      </c>
      <c r="Q323" s="10">
        <v>27.5</v>
      </c>
      <c r="R323" s="10">
        <v>28.2</v>
      </c>
      <c r="S323" s="10">
        <v>93</v>
      </c>
      <c r="T323" s="10">
        <v>1</v>
      </c>
    </row>
    <row r="324" spans="1:20" x14ac:dyDescent="0.25">
      <c r="A324" s="10">
        <v>1</v>
      </c>
      <c r="B324" s="10">
        <v>11.4</v>
      </c>
      <c r="C324" s="10">
        <v>21</v>
      </c>
      <c r="D324" s="10">
        <v>31.7</v>
      </c>
      <c r="E324" s="10">
        <v>88.9</v>
      </c>
      <c r="F324" s="10">
        <v>1</v>
      </c>
      <c r="G324" s="5"/>
      <c r="H324" s="10">
        <v>1</v>
      </c>
      <c r="I324" s="10">
        <v>13.9</v>
      </c>
      <c r="J324" s="10">
        <v>22.5</v>
      </c>
      <c r="K324" s="10">
        <v>28.2</v>
      </c>
      <c r="L324" s="10">
        <v>98.5</v>
      </c>
      <c r="M324" s="10">
        <v>0</v>
      </c>
      <c r="O324" s="10">
        <v>1</v>
      </c>
      <c r="P324" s="10">
        <v>12.7</v>
      </c>
      <c r="Q324" s="10">
        <v>24.1</v>
      </c>
      <c r="R324" s="10">
        <v>28.7</v>
      </c>
      <c r="S324" s="10">
        <v>97.2</v>
      </c>
      <c r="T324" s="10">
        <v>1</v>
      </c>
    </row>
    <row r="325" spans="1:20" x14ac:dyDescent="0.25">
      <c r="A325" s="10">
        <v>1</v>
      </c>
      <c r="B325" s="10">
        <v>11.6</v>
      </c>
      <c r="C325" s="10">
        <v>24.3</v>
      </c>
      <c r="D325" s="10">
        <v>29.1</v>
      </c>
      <c r="E325" s="10">
        <v>85.7</v>
      </c>
      <c r="F325" s="10">
        <v>1</v>
      </c>
      <c r="G325" s="5"/>
      <c r="H325" s="10">
        <v>0</v>
      </c>
      <c r="I325" s="10">
        <v>11.7</v>
      </c>
      <c r="J325" s="10">
        <v>29.8</v>
      </c>
      <c r="K325" s="10">
        <v>31.8</v>
      </c>
      <c r="L325" s="10">
        <v>101.3</v>
      </c>
      <c r="M325" s="10">
        <v>1</v>
      </c>
      <c r="O325" s="10">
        <v>1</v>
      </c>
      <c r="P325" s="10">
        <v>13.3</v>
      </c>
      <c r="Q325" s="10">
        <v>17.600000000000001</v>
      </c>
      <c r="R325" s="10">
        <v>32.4</v>
      </c>
      <c r="S325" s="10">
        <v>101.5</v>
      </c>
      <c r="T325" s="10">
        <v>1</v>
      </c>
    </row>
    <row r="326" spans="1:20" x14ac:dyDescent="0.25">
      <c r="A326" s="10">
        <v>1</v>
      </c>
      <c r="B326" s="10">
        <v>12.9</v>
      </c>
      <c r="C326" s="10">
        <v>27.4</v>
      </c>
      <c r="D326" s="10">
        <v>28.2</v>
      </c>
      <c r="E326" s="10">
        <v>78.8</v>
      </c>
      <c r="F326" s="10">
        <v>1</v>
      </c>
      <c r="G326" s="5"/>
      <c r="H326" s="10">
        <v>1</v>
      </c>
      <c r="I326" s="10">
        <v>12</v>
      </c>
      <c r="J326" s="10">
        <v>29.1</v>
      </c>
      <c r="K326" s="10">
        <v>28.8</v>
      </c>
      <c r="L326" s="10">
        <v>82.7</v>
      </c>
      <c r="M326" s="10">
        <v>1</v>
      </c>
      <c r="O326" s="10">
        <v>0</v>
      </c>
      <c r="P326" s="10">
        <v>10.5</v>
      </c>
      <c r="Q326" s="10">
        <v>25.5</v>
      </c>
      <c r="R326" s="10">
        <v>29.6</v>
      </c>
      <c r="S326" s="10">
        <v>83.2</v>
      </c>
      <c r="T326" s="10">
        <v>1</v>
      </c>
    </row>
    <row r="327" spans="1:20" x14ac:dyDescent="0.25">
      <c r="A327" s="10">
        <v>1</v>
      </c>
      <c r="B327" s="10">
        <v>11.8</v>
      </c>
      <c r="C327" s="10">
        <v>22</v>
      </c>
      <c r="D327" s="10">
        <v>29.3</v>
      </c>
      <c r="E327" s="10">
        <v>71.099999999999994</v>
      </c>
      <c r="F327" s="10">
        <v>1</v>
      </c>
      <c r="G327" s="5"/>
      <c r="H327" s="10">
        <v>1</v>
      </c>
      <c r="I327" s="10">
        <v>12.5</v>
      </c>
      <c r="J327" s="10">
        <v>21.7</v>
      </c>
      <c r="K327" s="10">
        <v>29.7</v>
      </c>
      <c r="L327" s="10">
        <v>88.6</v>
      </c>
      <c r="M327" s="10">
        <v>1</v>
      </c>
      <c r="O327" s="10">
        <v>0</v>
      </c>
      <c r="P327" s="10">
        <v>11.5</v>
      </c>
      <c r="Q327" s="10">
        <v>20.8</v>
      </c>
      <c r="R327" s="10">
        <v>30.7</v>
      </c>
      <c r="S327" s="10">
        <v>98.2</v>
      </c>
      <c r="T327" s="10">
        <v>1</v>
      </c>
    </row>
    <row r="328" spans="1:20" x14ac:dyDescent="0.25">
      <c r="A328" s="10">
        <v>0</v>
      </c>
      <c r="B328" s="10">
        <v>10.4</v>
      </c>
      <c r="C328" s="10">
        <v>20</v>
      </c>
      <c r="D328" s="10">
        <v>32.200000000000003</v>
      </c>
      <c r="E328" s="10">
        <v>101.2</v>
      </c>
      <c r="F328" s="10">
        <v>1</v>
      </c>
      <c r="G328" s="5"/>
      <c r="H328" s="10">
        <v>0</v>
      </c>
      <c r="I328" s="10">
        <v>12.6</v>
      </c>
      <c r="J328" s="10">
        <v>23.2</v>
      </c>
      <c r="K328" s="10">
        <v>28.3</v>
      </c>
      <c r="L328" s="10">
        <v>92.9</v>
      </c>
      <c r="M328" s="10">
        <v>0</v>
      </c>
      <c r="O328" s="10">
        <v>0</v>
      </c>
      <c r="P328" s="10">
        <v>10.4</v>
      </c>
      <c r="Q328" s="10">
        <v>23.4</v>
      </c>
      <c r="R328" s="10">
        <v>29.8</v>
      </c>
      <c r="S328" s="10">
        <v>92.5</v>
      </c>
      <c r="T328" s="10">
        <v>1</v>
      </c>
    </row>
    <row r="329" spans="1:20" x14ac:dyDescent="0.25">
      <c r="A329" s="10">
        <v>1</v>
      </c>
      <c r="B329" s="10">
        <v>10.4</v>
      </c>
      <c r="C329" s="10">
        <v>17.100000000000001</v>
      </c>
      <c r="D329" s="10">
        <v>31.4</v>
      </c>
      <c r="E329" s="10">
        <v>90.6</v>
      </c>
      <c r="F329" s="10">
        <v>1</v>
      </c>
      <c r="G329" s="5"/>
      <c r="H329" s="10">
        <v>1</v>
      </c>
      <c r="I329" s="10">
        <v>11.4</v>
      </c>
      <c r="J329" s="10">
        <v>29</v>
      </c>
      <c r="K329" s="10">
        <v>32.1</v>
      </c>
      <c r="L329" s="10">
        <v>96.4</v>
      </c>
      <c r="M329" s="10">
        <v>1</v>
      </c>
      <c r="O329" s="10">
        <v>1</v>
      </c>
      <c r="P329" s="10">
        <v>13</v>
      </c>
      <c r="Q329" s="10">
        <v>21.4</v>
      </c>
      <c r="R329" s="10">
        <v>28.8</v>
      </c>
      <c r="S329" s="10">
        <v>78.400000000000006</v>
      </c>
      <c r="T329" s="10">
        <v>1</v>
      </c>
    </row>
    <row r="330" spans="1:20" x14ac:dyDescent="0.25">
      <c r="A330" s="10">
        <v>1</v>
      </c>
      <c r="B330" s="10">
        <v>12.8</v>
      </c>
      <c r="C330" s="10">
        <v>20.3</v>
      </c>
      <c r="D330" s="10">
        <v>31.1</v>
      </c>
      <c r="E330" s="10">
        <v>100.1</v>
      </c>
      <c r="F330" s="10">
        <v>1</v>
      </c>
      <c r="G330" s="5"/>
      <c r="H330" s="10">
        <v>0</v>
      </c>
      <c r="I330" s="10">
        <v>14.9</v>
      </c>
      <c r="J330" s="10">
        <v>24.4</v>
      </c>
      <c r="K330" s="10">
        <v>30.1</v>
      </c>
      <c r="L330" s="10">
        <v>94.7</v>
      </c>
      <c r="M330" s="10">
        <v>0</v>
      </c>
      <c r="O330" s="10">
        <v>1</v>
      </c>
      <c r="P330" s="10">
        <v>12.3</v>
      </c>
      <c r="Q330" s="10">
        <v>19.2</v>
      </c>
      <c r="R330" s="10">
        <v>28.1</v>
      </c>
      <c r="S330" s="10">
        <v>100.8</v>
      </c>
      <c r="T330" s="10">
        <v>1</v>
      </c>
    </row>
    <row r="331" spans="1:20" x14ac:dyDescent="0.25">
      <c r="A331" s="10">
        <v>1</v>
      </c>
      <c r="B331" s="10">
        <v>11.7</v>
      </c>
      <c r="C331" s="10">
        <v>18.399999999999999</v>
      </c>
      <c r="D331" s="10">
        <v>32.1</v>
      </c>
      <c r="E331" s="10">
        <v>74.8</v>
      </c>
      <c r="F331" s="10">
        <v>1</v>
      </c>
      <c r="G331" s="5"/>
      <c r="H331" s="10">
        <v>1</v>
      </c>
      <c r="I331" s="10">
        <v>14.9</v>
      </c>
      <c r="J331" s="10">
        <v>22.4</v>
      </c>
      <c r="K331" s="10">
        <v>29.9</v>
      </c>
      <c r="L331" s="10">
        <v>80.599999999999994</v>
      </c>
      <c r="M331" s="10">
        <v>0</v>
      </c>
      <c r="O331" s="10">
        <v>0</v>
      </c>
      <c r="P331" s="10">
        <v>11.8</v>
      </c>
      <c r="Q331" s="10">
        <v>20.6</v>
      </c>
      <c r="R331" s="10">
        <v>31.9</v>
      </c>
      <c r="S331" s="10">
        <v>99.7</v>
      </c>
      <c r="T331" s="10">
        <v>1</v>
      </c>
    </row>
    <row r="332" spans="1:20" x14ac:dyDescent="0.25">
      <c r="A332" s="10">
        <v>1</v>
      </c>
      <c r="B332" s="10">
        <v>11.9</v>
      </c>
      <c r="C332" s="10">
        <v>22.8</v>
      </c>
      <c r="D332" s="10">
        <v>32.1</v>
      </c>
      <c r="E332" s="10">
        <v>101.2</v>
      </c>
      <c r="F332" s="10">
        <v>1</v>
      </c>
      <c r="G332" s="5"/>
      <c r="H332" s="10">
        <v>0</v>
      </c>
      <c r="I332" s="10">
        <v>12.1</v>
      </c>
      <c r="J332" s="10">
        <v>29.1</v>
      </c>
      <c r="K332" s="10">
        <v>29.4</v>
      </c>
      <c r="L332" s="10">
        <v>85.3</v>
      </c>
      <c r="M332" s="10">
        <v>0</v>
      </c>
      <c r="O332" s="10">
        <v>0</v>
      </c>
      <c r="P332" s="10">
        <v>10.3</v>
      </c>
      <c r="Q332" s="10">
        <v>27</v>
      </c>
      <c r="R332" s="10">
        <v>32.4</v>
      </c>
      <c r="S332" s="10">
        <v>71.599999999999994</v>
      </c>
      <c r="T332" s="10">
        <v>1</v>
      </c>
    </row>
    <row r="333" spans="1:20" x14ac:dyDescent="0.25">
      <c r="A333" s="10">
        <v>1</v>
      </c>
      <c r="B333" s="10">
        <v>11.5</v>
      </c>
      <c r="C333" s="10">
        <v>24.1</v>
      </c>
      <c r="D333" s="10">
        <v>30.8</v>
      </c>
      <c r="E333" s="10">
        <v>74.7</v>
      </c>
      <c r="F333" s="10">
        <v>1</v>
      </c>
      <c r="G333" s="5"/>
      <c r="H333" s="10">
        <v>1</v>
      </c>
      <c r="I333" s="10">
        <v>11.1</v>
      </c>
      <c r="J333" s="10">
        <v>25</v>
      </c>
      <c r="K333" s="10">
        <v>31.7</v>
      </c>
      <c r="L333" s="10">
        <v>79.5</v>
      </c>
      <c r="M333" s="10">
        <v>1</v>
      </c>
      <c r="O333" s="10">
        <v>0</v>
      </c>
      <c r="P333" s="10">
        <v>11</v>
      </c>
      <c r="Q333" s="10">
        <v>19.5</v>
      </c>
      <c r="R333" s="10">
        <v>31.7</v>
      </c>
      <c r="S333" s="10">
        <v>77.099999999999994</v>
      </c>
      <c r="T333" s="10">
        <v>1</v>
      </c>
    </row>
    <row r="334" spans="1:20" x14ac:dyDescent="0.25">
      <c r="A334" s="10">
        <v>1</v>
      </c>
      <c r="B334" s="10">
        <v>13.1</v>
      </c>
      <c r="C334" s="10">
        <v>25.6</v>
      </c>
      <c r="D334" s="10">
        <v>28.4</v>
      </c>
      <c r="E334" s="10">
        <v>77.5</v>
      </c>
      <c r="F334" s="10">
        <v>1</v>
      </c>
      <c r="G334" s="5"/>
      <c r="H334" s="10">
        <v>1</v>
      </c>
      <c r="I334" s="10">
        <v>15.8</v>
      </c>
      <c r="J334" s="10">
        <v>24.1</v>
      </c>
      <c r="K334" s="10">
        <v>31.8</v>
      </c>
      <c r="L334" s="10">
        <v>98.5</v>
      </c>
      <c r="M334" s="10">
        <v>0</v>
      </c>
      <c r="O334" s="10">
        <v>1</v>
      </c>
      <c r="P334" s="10">
        <v>12.5</v>
      </c>
      <c r="Q334" s="10">
        <v>25.2</v>
      </c>
      <c r="R334" s="10">
        <v>31.5</v>
      </c>
      <c r="S334" s="10">
        <v>91.7</v>
      </c>
      <c r="T334" s="10">
        <v>1</v>
      </c>
    </row>
    <row r="335" spans="1:20" x14ac:dyDescent="0.25">
      <c r="A335" s="10">
        <v>0</v>
      </c>
      <c r="B335" s="10">
        <v>10.7</v>
      </c>
      <c r="C335" s="10">
        <v>27.9</v>
      </c>
      <c r="D335" s="10">
        <v>31.3</v>
      </c>
      <c r="E335" s="10">
        <v>86.4</v>
      </c>
      <c r="F335" s="10">
        <v>1</v>
      </c>
      <c r="G335" s="5"/>
      <c r="H335" s="10">
        <v>1</v>
      </c>
      <c r="I335" s="10">
        <v>14.1</v>
      </c>
      <c r="J335" s="10">
        <v>19.399999999999999</v>
      </c>
      <c r="K335" s="10">
        <v>32.1</v>
      </c>
      <c r="L335" s="10">
        <v>77.400000000000006</v>
      </c>
      <c r="M335" s="10">
        <v>0</v>
      </c>
      <c r="O335" s="10">
        <v>0</v>
      </c>
      <c r="P335" s="10">
        <v>6.6</v>
      </c>
      <c r="Q335" s="10">
        <v>28.7</v>
      </c>
      <c r="R335" s="10">
        <v>31</v>
      </c>
      <c r="S335" s="10">
        <v>81.599999999999994</v>
      </c>
      <c r="T335" s="10">
        <v>1</v>
      </c>
    </row>
    <row r="336" spans="1:20" x14ac:dyDescent="0.25">
      <c r="A336" s="10">
        <v>1</v>
      </c>
      <c r="B336" s="10">
        <v>11.7</v>
      </c>
      <c r="C336" s="10">
        <v>24.5</v>
      </c>
      <c r="D336" s="10">
        <v>31.1</v>
      </c>
      <c r="E336" s="10">
        <v>86.1</v>
      </c>
      <c r="F336" s="10">
        <v>1</v>
      </c>
      <c r="G336" s="5"/>
      <c r="H336" s="10">
        <v>1</v>
      </c>
      <c r="I336" s="10">
        <v>13.2</v>
      </c>
      <c r="J336" s="10">
        <v>27.4</v>
      </c>
      <c r="K336" s="10">
        <v>30.6</v>
      </c>
      <c r="L336" s="10">
        <v>101</v>
      </c>
      <c r="M336" s="10">
        <v>1</v>
      </c>
      <c r="O336" s="10">
        <v>1</v>
      </c>
      <c r="P336" s="10">
        <v>10</v>
      </c>
      <c r="Q336" s="10">
        <v>20.9</v>
      </c>
      <c r="R336" s="10">
        <v>31.2</v>
      </c>
      <c r="S336" s="10">
        <v>72.5</v>
      </c>
      <c r="T336" s="10">
        <v>1</v>
      </c>
    </row>
    <row r="337" spans="1:20" x14ac:dyDescent="0.25">
      <c r="A337" s="10">
        <v>1</v>
      </c>
      <c r="B337" s="10">
        <v>13.3</v>
      </c>
      <c r="C337" s="10">
        <v>25.1</v>
      </c>
      <c r="D337" s="10">
        <v>30.6</v>
      </c>
      <c r="E337" s="10">
        <v>73.7</v>
      </c>
      <c r="F337" s="10">
        <v>1</v>
      </c>
      <c r="G337" s="5"/>
      <c r="H337" s="10">
        <v>0</v>
      </c>
      <c r="I337" s="10">
        <v>16.399999999999999</v>
      </c>
      <c r="J337" s="10">
        <v>29.6</v>
      </c>
      <c r="K337" s="10">
        <v>30.6</v>
      </c>
      <c r="L337" s="10">
        <v>75.3</v>
      </c>
      <c r="M337" s="10">
        <v>0</v>
      </c>
      <c r="O337" s="10">
        <v>1</v>
      </c>
      <c r="P337" s="10">
        <v>12.1</v>
      </c>
      <c r="Q337" s="10">
        <v>19.899999999999999</v>
      </c>
      <c r="R337" s="10">
        <v>32.4</v>
      </c>
      <c r="S337" s="10">
        <v>90.9</v>
      </c>
      <c r="T337" s="10">
        <v>1</v>
      </c>
    </row>
    <row r="338" spans="1:20" x14ac:dyDescent="0.25">
      <c r="A338" s="10">
        <v>0</v>
      </c>
      <c r="B338" s="10">
        <v>11.2</v>
      </c>
      <c r="C338" s="10">
        <v>16.600000000000001</v>
      </c>
      <c r="D338" s="10">
        <v>30.2</v>
      </c>
      <c r="E338" s="10">
        <v>79.8</v>
      </c>
      <c r="F338" s="10">
        <v>1</v>
      </c>
      <c r="G338" s="5"/>
      <c r="H338" s="10">
        <v>1</v>
      </c>
      <c r="I338" s="10">
        <v>10.4</v>
      </c>
      <c r="J338" s="10">
        <v>29</v>
      </c>
      <c r="K338" s="10">
        <v>30</v>
      </c>
      <c r="L338" s="10">
        <v>92.3</v>
      </c>
      <c r="M338" s="10">
        <v>1</v>
      </c>
      <c r="O338" s="10">
        <v>0</v>
      </c>
      <c r="P338" s="10">
        <v>8.9</v>
      </c>
      <c r="Q338" s="10">
        <v>18.3</v>
      </c>
      <c r="R338" s="10">
        <v>31.7</v>
      </c>
      <c r="S338" s="10">
        <v>82.8</v>
      </c>
      <c r="T338" s="10">
        <v>1</v>
      </c>
    </row>
    <row r="339" spans="1:20" x14ac:dyDescent="0.25">
      <c r="A339" s="10">
        <v>1</v>
      </c>
      <c r="B339" s="10">
        <v>11</v>
      </c>
      <c r="C339" s="10">
        <v>25</v>
      </c>
      <c r="D339" s="10">
        <v>30.4</v>
      </c>
      <c r="E339" s="10">
        <v>81.400000000000006</v>
      </c>
      <c r="F339" s="10">
        <v>1</v>
      </c>
      <c r="G339" s="5"/>
      <c r="H339" s="10">
        <v>1</v>
      </c>
      <c r="I339" s="10">
        <v>16.3</v>
      </c>
      <c r="J339" s="10">
        <v>24.8</v>
      </c>
      <c r="K339" s="10">
        <v>30.6</v>
      </c>
      <c r="L339" s="10">
        <v>83.9</v>
      </c>
      <c r="M339" s="10">
        <v>0</v>
      </c>
      <c r="O339" s="10">
        <v>0</v>
      </c>
      <c r="P339" s="10">
        <v>9.1999999999999993</v>
      </c>
      <c r="Q339" s="10">
        <v>21.5</v>
      </c>
      <c r="R339" s="10">
        <v>31.6</v>
      </c>
      <c r="S339" s="10">
        <v>99.7</v>
      </c>
      <c r="T339" s="10">
        <v>1</v>
      </c>
    </row>
    <row r="340" spans="1:20" x14ac:dyDescent="0.25">
      <c r="A340" s="10">
        <v>1</v>
      </c>
      <c r="B340" s="10">
        <v>13</v>
      </c>
      <c r="C340" s="10">
        <v>28.6</v>
      </c>
      <c r="D340" s="10">
        <v>32.200000000000003</v>
      </c>
      <c r="E340" s="10">
        <v>69.8</v>
      </c>
      <c r="F340" s="10">
        <v>1</v>
      </c>
      <c r="G340" s="5"/>
      <c r="H340" s="10">
        <v>1</v>
      </c>
      <c r="I340" s="10">
        <v>14.9</v>
      </c>
      <c r="J340" s="10">
        <v>28.2</v>
      </c>
      <c r="K340" s="10">
        <v>31.2</v>
      </c>
      <c r="L340" s="10">
        <v>90.8</v>
      </c>
      <c r="M340" s="10">
        <v>0</v>
      </c>
      <c r="O340" s="10">
        <v>0</v>
      </c>
      <c r="P340" s="10">
        <v>9.9</v>
      </c>
      <c r="Q340" s="10">
        <v>16.7</v>
      </c>
      <c r="R340" s="10">
        <v>30</v>
      </c>
      <c r="S340" s="10">
        <v>78.400000000000006</v>
      </c>
      <c r="T340" s="10">
        <v>1</v>
      </c>
    </row>
    <row r="341" spans="1:20" x14ac:dyDescent="0.25">
      <c r="A341" s="10">
        <v>0</v>
      </c>
      <c r="B341" s="10">
        <v>11.6</v>
      </c>
      <c r="C341" s="10">
        <v>17.5</v>
      </c>
      <c r="D341" s="10">
        <v>31.6</v>
      </c>
      <c r="E341" s="10">
        <v>70.5</v>
      </c>
      <c r="F341" s="10">
        <v>1</v>
      </c>
      <c r="G341" s="5"/>
      <c r="H341" s="10">
        <v>0</v>
      </c>
      <c r="I341" s="10">
        <v>15.3</v>
      </c>
      <c r="J341" s="10">
        <v>17.3</v>
      </c>
      <c r="K341" s="10">
        <v>32.200000000000003</v>
      </c>
      <c r="L341" s="10">
        <v>89.2</v>
      </c>
      <c r="M341" s="10">
        <v>0</v>
      </c>
      <c r="O341" s="10">
        <v>1</v>
      </c>
      <c r="P341" s="10">
        <v>11.7</v>
      </c>
      <c r="Q341" s="10">
        <v>18.100000000000001</v>
      </c>
      <c r="R341" s="10">
        <v>31.4</v>
      </c>
      <c r="S341" s="10">
        <v>83.5</v>
      </c>
      <c r="T341" s="10">
        <v>1</v>
      </c>
    </row>
    <row r="342" spans="1:20" x14ac:dyDescent="0.25">
      <c r="A342" s="10">
        <v>1</v>
      </c>
      <c r="B342" s="10">
        <v>11.1</v>
      </c>
      <c r="C342" s="10">
        <v>22.1</v>
      </c>
      <c r="D342" s="10">
        <v>29.4</v>
      </c>
      <c r="E342" s="10">
        <v>97</v>
      </c>
      <c r="F342" s="10">
        <v>1</v>
      </c>
      <c r="G342" s="5"/>
      <c r="H342" s="10">
        <v>0</v>
      </c>
      <c r="I342" s="10">
        <v>14.3</v>
      </c>
      <c r="J342" s="10">
        <v>21.3</v>
      </c>
      <c r="K342" s="10">
        <v>29.9</v>
      </c>
      <c r="L342" s="10">
        <v>101.4</v>
      </c>
      <c r="M342" s="10">
        <v>0</v>
      </c>
      <c r="O342" s="10">
        <v>1</v>
      </c>
      <c r="P342" s="10">
        <v>11.8</v>
      </c>
      <c r="Q342" s="10">
        <v>24.4</v>
      </c>
      <c r="R342" s="10">
        <v>30.6</v>
      </c>
      <c r="S342" s="10">
        <v>77.400000000000006</v>
      </c>
      <c r="T342" s="10">
        <v>1</v>
      </c>
    </row>
    <row r="343" spans="1:20" x14ac:dyDescent="0.25">
      <c r="A343" s="10">
        <v>1</v>
      </c>
      <c r="B343" s="10">
        <v>12.4</v>
      </c>
      <c r="C343" s="10">
        <v>19</v>
      </c>
      <c r="D343" s="10">
        <v>31.9</v>
      </c>
      <c r="E343" s="10">
        <v>73.7</v>
      </c>
      <c r="F343" s="10">
        <v>1</v>
      </c>
      <c r="G343" s="5"/>
      <c r="H343" s="10">
        <v>0</v>
      </c>
      <c r="I343" s="10">
        <v>12.4</v>
      </c>
      <c r="J343" s="10">
        <v>16.2</v>
      </c>
      <c r="K343" s="10">
        <v>31.8</v>
      </c>
      <c r="L343" s="10">
        <v>98.5</v>
      </c>
      <c r="M343" s="10">
        <v>0</v>
      </c>
      <c r="O343" s="10">
        <v>1</v>
      </c>
      <c r="P343" s="10">
        <v>12</v>
      </c>
      <c r="Q343" s="10">
        <v>23.6</v>
      </c>
      <c r="R343" s="10">
        <v>28.3</v>
      </c>
      <c r="S343" s="10">
        <v>89.8</v>
      </c>
      <c r="T343" s="10">
        <v>1</v>
      </c>
    </row>
    <row r="344" spans="1:20" x14ac:dyDescent="0.25">
      <c r="A344" s="10">
        <v>1</v>
      </c>
      <c r="B344" s="10">
        <v>12.7</v>
      </c>
      <c r="C344" s="10">
        <v>29</v>
      </c>
      <c r="D344" s="10">
        <v>31.6</v>
      </c>
      <c r="E344" s="10">
        <v>78.599999999999994</v>
      </c>
      <c r="F344" s="10">
        <v>1</v>
      </c>
      <c r="G344" s="5"/>
      <c r="H344" s="10">
        <v>1</v>
      </c>
      <c r="I344" s="10">
        <v>10.3</v>
      </c>
      <c r="J344" s="10">
        <v>22.5</v>
      </c>
      <c r="K344" s="10">
        <v>32.1</v>
      </c>
      <c r="L344" s="10">
        <v>75</v>
      </c>
      <c r="M344" s="10">
        <v>1</v>
      </c>
      <c r="O344" s="10">
        <v>0</v>
      </c>
      <c r="P344" s="10">
        <v>11.1</v>
      </c>
      <c r="Q344" s="10">
        <v>29.3</v>
      </c>
      <c r="R344" s="10">
        <v>32.200000000000003</v>
      </c>
      <c r="S344" s="10">
        <v>78.7</v>
      </c>
      <c r="T344" s="10">
        <v>1</v>
      </c>
    </row>
    <row r="345" spans="1:20" x14ac:dyDescent="0.25">
      <c r="A345" s="10">
        <v>1</v>
      </c>
      <c r="B345" s="10">
        <v>10.9</v>
      </c>
      <c r="C345" s="10">
        <v>29.4</v>
      </c>
      <c r="D345" s="10">
        <v>31.1</v>
      </c>
      <c r="E345" s="10">
        <v>91.7</v>
      </c>
      <c r="F345" s="10">
        <v>1</v>
      </c>
      <c r="G345" s="5"/>
      <c r="H345" s="10">
        <v>1</v>
      </c>
      <c r="I345" s="10">
        <v>16.600000000000001</v>
      </c>
      <c r="J345" s="10">
        <v>18.8</v>
      </c>
      <c r="K345" s="10">
        <v>28.1</v>
      </c>
      <c r="L345" s="10">
        <v>70.900000000000006</v>
      </c>
      <c r="M345" s="10">
        <v>0</v>
      </c>
      <c r="O345" s="10">
        <v>1</v>
      </c>
      <c r="P345" s="10">
        <v>9</v>
      </c>
      <c r="Q345" s="10">
        <v>23</v>
      </c>
      <c r="R345" s="10">
        <v>30.5</v>
      </c>
      <c r="S345" s="10">
        <v>69.8</v>
      </c>
      <c r="T345" s="10">
        <v>1</v>
      </c>
    </row>
    <row r="346" spans="1:20" x14ac:dyDescent="0.25">
      <c r="A346" s="10">
        <v>1</v>
      </c>
      <c r="B346" s="10">
        <v>11.5</v>
      </c>
      <c r="C346" s="10">
        <v>21.4</v>
      </c>
      <c r="D346" s="10">
        <v>28.7</v>
      </c>
      <c r="E346" s="10">
        <v>98.6</v>
      </c>
      <c r="F346" s="10">
        <v>1</v>
      </c>
      <c r="G346" s="5"/>
      <c r="H346" s="10">
        <v>1</v>
      </c>
      <c r="I346" s="10">
        <v>12.7</v>
      </c>
      <c r="J346" s="10">
        <v>27.8</v>
      </c>
      <c r="K346" s="10">
        <v>28.4</v>
      </c>
      <c r="L346" s="10">
        <v>72.3</v>
      </c>
      <c r="M346" s="10">
        <v>1</v>
      </c>
      <c r="O346" s="10">
        <v>1</v>
      </c>
      <c r="P346" s="10">
        <v>9.6</v>
      </c>
      <c r="Q346" s="10">
        <v>27.9</v>
      </c>
      <c r="R346" s="10">
        <v>29.2</v>
      </c>
      <c r="S346" s="10">
        <v>87.9</v>
      </c>
      <c r="T346" s="10">
        <v>1</v>
      </c>
    </row>
    <row r="347" spans="1:20" x14ac:dyDescent="0.25">
      <c r="A347" s="10">
        <v>1</v>
      </c>
      <c r="B347" s="10">
        <v>12.8</v>
      </c>
      <c r="C347" s="10">
        <v>17.8</v>
      </c>
      <c r="D347" s="10">
        <v>29.1</v>
      </c>
      <c r="E347" s="10">
        <v>79.400000000000006</v>
      </c>
      <c r="F347" s="10">
        <v>1</v>
      </c>
      <c r="G347" s="5"/>
      <c r="H347" s="10">
        <v>0</v>
      </c>
      <c r="I347" s="10">
        <v>14.8</v>
      </c>
      <c r="J347" s="10">
        <v>25.2</v>
      </c>
      <c r="K347" s="10">
        <v>30.7</v>
      </c>
      <c r="L347" s="10">
        <v>101</v>
      </c>
      <c r="M347" s="10">
        <v>0</v>
      </c>
      <c r="O347" s="10">
        <v>0</v>
      </c>
      <c r="P347" s="10">
        <v>8.4</v>
      </c>
      <c r="Q347" s="10">
        <v>17.600000000000001</v>
      </c>
      <c r="R347" s="10">
        <v>28.8</v>
      </c>
      <c r="S347" s="10">
        <v>85.2</v>
      </c>
      <c r="T347" s="10">
        <v>1</v>
      </c>
    </row>
    <row r="348" spans="1:20" x14ac:dyDescent="0.25">
      <c r="A348" s="10">
        <v>1</v>
      </c>
      <c r="B348" s="10">
        <v>12.1</v>
      </c>
      <c r="C348" s="10">
        <v>21.7</v>
      </c>
      <c r="D348" s="10">
        <v>30.9</v>
      </c>
      <c r="E348" s="10">
        <v>70.8</v>
      </c>
      <c r="F348" s="10">
        <v>1</v>
      </c>
      <c r="G348" s="5"/>
      <c r="H348" s="10">
        <v>0</v>
      </c>
      <c r="I348" s="10">
        <v>12.7</v>
      </c>
      <c r="J348" s="10">
        <v>24.3</v>
      </c>
      <c r="K348" s="10">
        <v>31.4</v>
      </c>
      <c r="L348" s="10">
        <v>75.5</v>
      </c>
      <c r="M348" s="10">
        <v>0</v>
      </c>
      <c r="O348" s="10">
        <v>0</v>
      </c>
      <c r="P348" s="10">
        <v>10.8</v>
      </c>
      <c r="Q348" s="10">
        <v>24.9</v>
      </c>
      <c r="R348" s="10">
        <v>28.3</v>
      </c>
      <c r="S348" s="10">
        <v>100</v>
      </c>
      <c r="T348" s="10">
        <v>1</v>
      </c>
    </row>
    <row r="349" spans="1:20" x14ac:dyDescent="0.25">
      <c r="A349" s="10">
        <v>0</v>
      </c>
      <c r="B349" s="10">
        <v>11.1</v>
      </c>
      <c r="C349" s="10">
        <v>29.8</v>
      </c>
      <c r="D349" s="10">
        <v>29.2</v>
      </c>
      <c r="E349" s="10">
        <v>78</v>
      </c>
      <c r="F349" s="10">
        <v>1</v>
      </c>
      <c r="G349" s="5"/>
      <c r="H349" s="10">
        <v>1</v>
      </c>
      <c r="I349" s="10">
        <v>12.6</v>
      </c>
      <c r="J349" s="10">
        <v>16.100000000000001</v>
      </c>
      <c r="K349" s="10">
        <v>31.1</v>
      </c>
      <c r="L349" s="10">
        <v>94.2</v>
      </c>
      <c r="M349" s="10">
        <v>1</v>
      </c>
      <c r="O349" s="10">
        <v>1</v>
      </c>
      <c r="P349" s="10">
        <v>12.3</v>
      </c>
      <c r="Q349" s="10">
        <v>23.5</v>
      </c>
      <c r="R349" s="10">
        <v>28.1</v>
      </c>
      <c r="S349" s="10">
        <v>76.900000000000006</v>
      </c>
      <c r="T349" s="10">
        <v>1</v>
      </c>
    </row>
    <row r="350" spans="1:20" x14ac:dyDescent="0.25">
      <c r="A350" s="10">
        <v>1</v>
      </c>
      <c r="B350" s="10">
        <v>11.7</v>
      </c>
      <c r="C350" s="10">
        <v>28.1</v>
      </c>
      <c r="D350" s="10">
        <v>31.9</v>
      </c>
      <c r="E350" s="10">
        <v>72.7</v>
      </c>
      <c r="F350" s="10">
        <v>1</v>
      </c>
      <c r="G350" s="5"/>
      <c r="H350" s="10">
        <v>0</v>
      </c>
      <c r="I350" s="10">
        <v>13.2</v>
      </c>
      <c r="J350" s="10">
        <v>22</v>
      </c>
      <c r="K350" s="10">
        <v>30.7</v>
      </c>
      <c r="L350" s="10">
        <v>89.7</v>
      </c>
      <c r="M350" s="10">
        <v>0</v>
      </c>
      <c r="O350" s="10">
        <v>0</v>
      </c>
      <c r="P350" s="10">
        <v>9.8000000000000007</v>
      </c>
      <c r="Q350" s="10">
        <v>29.3</v>
      </c>
      <c r="R350" s="10">
        <v>28.9</v>
      </c>
      <c r="S350" s="10">
        <v>88.3</v>
      </c>
      <c r="T350" s="10">
        <v>1</v>
      </c>
    </row>
    <row r="351" spans="1:20" x14ac:dyDescent="0.25">
      <c r="A351" s="10">
        <v>1</v>
      </c>
      <c r="B351" s="10">
        <v>13.1</v>
      </c>
      <c r="C351" s="10">
        <v>22.2</v>
      </c>
      <c r="D351" s="10">
        <v>31.5</v>
      </c>
      <c r="E351" s="10">
        <v>87.3</v>
      </c>
      <c r="F351" s="10">
        <v>1</v>
      </c>
      <c r="G351" s="5"/>
      <c r="H351" s="10">
        <v>1</v>
      </c>
      <c r="I351" s="10">
        <v>13.4</v>
      </c>
      <c r="J351" s="10">
        <v>28.6</v>
      </c>
      <c r="K351" s="10">
        <v>32</v>
      </c>
      <c r="L351" s="10">
        <v>94</v>
      </c>
      <c r="M351" s="10">
        <v>1</v>
      </c>
      <c r="O351" s="10">
        <v>1</v>
      </c>
      <c r="P351" s="10">
        <v>13</v>
      </c>
      <c r="Q351" s="10">
        <v>28.1</v>
      </c>
      <c r="R351" s="10">
        <v>31.6</v>
      </c>
      <c r="S351" s="10">
        <v>94.6</v>
      </c>
      <c r="T351" s="10">
        <v>1</v>
      </c>
    </row>
    <row r="352" spans="1:20" x14ac:dyDescent="0.25">
      <c r="A352" s="10">
        <v>1</v>
      </c>
      <c r="B352" s="10">
        <v>11.1</v>
      </c>
      <c r="C352" s="10">
        <v>21.2</v>
      </c>
      <c r="D352" s="10">
        <v>31</v>
      </c>
      <c r="E352" s="10">
        <v>87</v>
      </c>
      <c r="F352" s="10">
        <v>1</v>
      </c>
      <c r="G352" s="5"/>
      <c r="H352" s="10">
        <v>1</v>
      </c>
      <c r="I352" s="10">
        <v>11.5</v>
      </c>
      <c r="J352" s="10">
        <v>25.7</v>
      </c>
      <c r="K352" s="10">
        <v>30.4</v>
      </c>
      <c r="L352" s="10">
        <v>70.2</v>
      </c>
      <c r="M352" s="10">
        <v>1</v>
      </c>
      <c r="O352" s="10">
        <v>1</v>
      </c>
      <c r="P352" s="10">
        <v>10.6</v>
      </c>
      <c r="Q352" s="10">
        <v>22.7</v>
      </c>
      <c r="R352" s="10">
        <v>29.1</v>
      </c>
      <c r="S352" s="10">
        <v>83.7</v>
      </c>
      <c r="T352" s="10">
        <v>1</v>
      </c>
    </row>
    <row r="353" spans="1:20" x14ac:dyDescent="0.25">
      <c r="A353" s="10">
        <v>1</v>
      </c>
      <c r="B353" s="10">
        <v>12.4</v>
      </c>
      <c r="C353" s="10">
        <v>23.3</v>
      </c>
      <c r="D353" s="10">
        <v>31.3</v>
      </c>
      <c r="E353" s="10">
        <v>70.099999999999994</v>
      </c>
      <c r="F353" s="10">
        <v>1</v>
      </c>
      <c r="G353" s="5"/>
      <c r="H353" s="10">
        <v>0</v>
      </c>
      <c r="I353" s="10">
        <v>15.9</v>
      </c>
      <c r="J353" s="10">
        <v>19.7</v>
      </c>
      <c r="K353" s="10">
        <v>30.9</v>
      </c>
      <c r="L353" s="10">
        <v>101.4</v>
      </c>
      <c r="M353" s="10">
        <v>0</v>
      </c>
      <c r="O353" s="10">
        <v>1</v>
      </c>
      <c r="P353" s="10">
        <v>11.7</v>
      </c>
      <c r="Q353" s="10">
        <v>25.8</v>
      </c>
      <c r="R353" s="10">
        <v>31.3</v>
      </c>
      <c r="S353" s="10">
        <v>82.9</v>
      </c>
      <c r="T353" s="10">
        <v>1</v>
      </c>
    </row>
    <row r="354" spans="1:20" x14ac:dyDescent="0.25">
      <c r="A354" s="10">
        <v>0</v>
      </c>
      <c r="B354" s="10">
        <v>11.2</v>
      </c>
      <c r="C354" s="10">
        <v>20.100000000000001</v>
      </c>
      <c r="D354" s="10">
        <v>30.8</v>
      </c>
      <c r="E354" s="10">
        <v>76.400000000000006</v>
      </c>
      <c r="F354" s="10">
        <v>1</v>
      </c>
      <c r="G354" s="5"/>
      <c r="H354" s="10">
        <v>0</v>
      </c>
      <c r="I354" s="10">
        <v>11.5</v>
      </c>
      <c r="J354" s="10">
        <v>22.7</v>
      </c>
      <c r="K354" s="10">
        <v>30.6</v>
      </c>
      <c r="L354" s="10">
        <v>87.3</v>
      </c>
      <c r="M354" s="10">
        <v>1</v>
      </c>
      <c r="O354" s="10">
        <v>0</v>
      </c>
      <c r="P354" s="10">
        <v>9.1999999999999993</v>
      </c>
      <c r="Q354" s="10">
        <v>19.3</v>
      </c>
      <c r="R354" s="10">
        <v>31.4</v>
      </c>
      <c r="S354" s="10">
        <v>78.900000000000006</v>
      </c>
      <c r="T354" s="10">
        <v>1</v>
      </c>
    </row>
    <row r="355" spans="1:20" x14ac:dyDescent="0.25">
      <c r="A355" s="10">
        <v>1</v>
      </c>
      <c r="B355" s="10">
        <v>10.4</v>
      </c>
      <c r="C355" s="10">
        <v>18.899999999999999</v>
      </c>
      <c r="D355" s="10">
        <v>27.8</v>
      </c>
      <c r="E355" s="10">
        <v>75.099999999999994</v>
      </c>
      <c r="F355" s="10">
        <v>1</v>
      </c>
      <c r="G355" s="5"/>
      <c r="H355" s="10">
        <v>0</v>
      </c>
      <c r="I355" s="10">
        <v>10.7</v>
      </c>
      <c r="J355" s="10">
        <v>26.8</v>
      </c>
      <c r="K355" s="10">
        <v>32.200000000000003</v>
      </c>
      <c r="L355" s="10">
        <v>86.6</v>
      </c>
      <c r="M355" s="10">
        <v>1</v>
      </c>
      <c r="O355" s="10">
        <v>1</v>
      </c>
      <c r="P355" s="10">
        <v>12.5</v>
      </c>
      <c r="Q355" s="10">
        <v>17.600000000000001</v>
      </c>
      <c r="R355" s="10">
        <v>32.4</v>
      </c>
      <c r="S355" s="10">
        <v>101.5</v>
      </c>
      <c r="T355" s="10">
        <v>1</v>
      </c>
    </row>
    <row r="356" spans="1:20" x14ac:dyDescent="0.25">
      <c r="A356" s="10">
        <v>1</v>
      </c>
      <c r="B356" s="10">
        <v>12</v>
      </c>
      <c r="C356" s="10">
        <v>17.2</v>
      </c>
      <c r="D356" s="10">
        <v>31.3</v>
      </c>
      <c r="E356" s="10">
        <v>77.400000000000006</v>
      </c>
      <c r="F356" s="10">
        <v>1</v>
      </c>
      <c r="G356" s="5"/>
      <c r="H356" s="10">
        <v>0</v>
      </c>
      <c r="I356" s="10">
        <v>14.7</v>
      </c>
      <c r="J356" s="10">
        <v>24.8</v>
      </c>
      <c r="K356" s="10">
        <v>29.4</v>
      </c>
      <c r="L356" s="10">
        <v>82.4</v>
      </c>
      <c r="M356" s="10">
        <v>0</v>
      </c>
      <c r="O356" s="10">
        <v>0</v>
      </c>
      <c r="P356" s="10">
        <v>9.1</v>
      </c>
      <c r="Q356" s="10">
        <v>21.3</v>
      </c>
      <c r="R356" s="10">
        <v>29.4</v>
      </c>
      <c r="S356" s="10">
        <v>94.2</v>
      </c>
      <c r="T356" s="10">
        <v>1</v>
      </c>
    </row>
    <row r="357" spans="1:20" x14ac:dyDescent="0.25">
      <c r="A357" s="10">
        <v>0</v>
      </c>
      <c r="B357" s="10">
        <v>11.5</v>
      </c>
      <c r="C357" s="10">
        <v>16.2</v>
      </c>
      <c r="D357" s="10">
        <v>30.9</v>
      </c>
      <c r="E357" s="10">
        <v>100.8</v>
      </c>
      <c r="F357" s="10">
        <v>1</v>
      </c>
      <c r="G357" s="5"/>
      <c r="H357" s="10">
        <v>0</v>
      </c>
      <c r="I357" s="10">
        <v>16.7</v>
      </c>
      <c r="J357" s="10">
        <v>28.8</v>
      </c>
      <c r="K357" s="10">
        <v>28.1</v>
      </c>
      <c r="L357" s="10">
        <v>92</v>
      </c>
      <c r="M357" s="10">
        <v>0</v>
      </c>
      <c r="O357" s="10">
        <v>0</v>
      </c>
      <c r="P357" s="10">
        <v>7.8</v>
      </c>
      <c r="Q357" s="10">
        <v>23</v>
      </c>
      <c r="R357" s="10">
        <v>32.200000000000003</v>
      </c>
      <c r="S357" s="10">
        <v>76.099999999999994</v>
      </c>
      <c r="T357" s="10">
        <v>1</v>
      </c>
    </row>
    <row r="358" spans="1:20" x14ac:dyDescent="0.25">
      <c r="A358" s="10">
        <v>1</v>
      </c>
      <c r="B358" s="10">
        <v>10.5</v>
      </c>
      <c r="C358" s="10">
        <v>25.3</v>
      </c>
      <c r="D358" s="10">
        <v>27.9</v>
      </c>
      <c r="E358" s="10">
        <v>77.099999999999994</v>
      </c>
      <c r="F358" s="10">
        <v>1</v>
      </c>
      <c r="G358" s="5"/>
      <c r="H358" s="10">
        <v>0</v>
      </c>
      <c r="I358" s="10">
        <v>14.2</v>
      </c>
      <c r="J358" s="10">
        <v>26.3</v>
      </c>
      <c r="K358" s="10">
        <v>28.8</v>
      </c>
      <c r="L358" s="10">
        <v>97.9</v>
      </c>
      <c r="M358" s="10">
        <v>0</v>
      </c>
      <c r="O358" s="10">
        <v>0</v>
      </c>
      <c r="P358" s="10">
        <v>11.7</v>
      </c>
      <c r="Q358" s="10">
        <v>19.3</v>
      </c>
      <c r="R358" s="10">
        <v>30.3</v>
      </c>
      <c r="S358" s="10">
        <v>83.3</v>
      </c>
      <c r="T358" s="10">
        <v>1</v>
      </c>
    </row>
    <row r="359" spans="1:20" x14ac:dyDescent="0.25">
      <c r="A359" s="10">
        <v>1</v>
      </c>
      <c r="B359" s="10">
        <v>12.5</v>
      </c>
      <c r="C359" s="10">
        <v>25.6</v>
      </c>
      <c r="D359" s="10">
        <v>29.9</v>
      </c>
      <c r="E359" s="10">
        <v>79.099999999999994</v>
      </c>
      <c r="F359" s="10">
        <v>1</v>
      </c>
      <c r="G359" s="5"/>
      <c r="H359" s="10">
        <v>1</v>
      </c>
      <c r="I359" s="10">
        <v>11.1</v>
      </c>
      <c r="J359" s="10">
        <v>17.5</v>
      </c>
      <c r="K359" s="10">
        <v>31.3</v>
      </c>
      <c r="L359" s="10">
        <v>95.4</v>
      </c>
      <c r="M359" s="10">
        <v>1</v>
      </c>
      <c r="O359" s="10">
        <v>0</v>
      </c>
      <c r="P359" s="10">
        <v>10.4</v>
      </c>
      <c r="Q359" s="10">
        <v>23.5</v>
      </c>
      <c r="R359" s="10">
        <v>31.3</v>
      </c>
      <c r="S359" s="10">
        <v>85.9</v>
      </c>
      <c r="T359" s="10">
        <v>1</v>
      </c>
    </row>
    <row r="360" spans="1:20" x14ac:dyDescent="0.25">
      <c r="A360" s="10">
        <v>0</v>
      </c>
      <c r="B360" s="10">
        <v>10.7</v>
      </c>
      <c r="C360" s="10">
        <v>22.6</v>
      </c>
      <c r="D360" s="10">
        <v>30.2</v>
      </c>
      <c r="E360" s="10">
        <v>101.5</v>
      </c>
      <c r="F360" s="10">
        <v>1</v>
      </c>
      <c r="G360" s="5"/>
      <c r="H360" s="10">
        <v>0</v>
      </c>
      <c r="I360" s="10">
        <v>13.2</v>
      </c>
      <c r="J360" s="10">
        <v>23.8</v>
      </c>
      <c r="K360" s="10">
        <v>28</v>
      </c>
      <c r="L360" s="10">
        <v>89.9</v>
      </c>
      <c r="M360" s="10">
        <v>0</v>
      </c>
      <c r="O360" s="10">
        <v>1</v>
      </c>
      <c r="P360" s="10">
        <v>12.7</v>
      </c>
      <c r="Q360" s="10">
        <v>26.4</v>
      </c>
      <c r="R360" s="10">
        <v>27.9</v>
      </c>
      <c r="S360" s="10">
        <v>101.5</v>
      </c>
      <c r="T360" s="10">
        <v>1</v>
      </c>
    </row>
    <row r="361" spans="1:20" x14ac:dyDescent="0.25">
      <c r="A361" s="10">
        <v>1</v>
      </c>
      <c r="B361" s="10">
        <v>10.5</v>
      </c>
      <c r="C361" s="10">
        <v>28.3</v>
      </c>
      <c r="D361" s="10">
        <v>28.7</v>
      </c>
      <c r="E361" s="10">
        <v>100.1</v>
      </c>
      <c r="F361" s="10">
        <v>1</v>
      </c>
      <c r="G361" s="5"/>
      <c r="H361" s="10">
        <v>0</v>
      </c>
      <c r="I361" s="10">
        <v>11.3</v>
      </c>
      <c r="J361" s="10">
        <v>28.9</v>
      </c>
      <c r="K361" s="10">
        <v>30.5</v>
      </c>
      <c r="L361" s="10">
        <v>79.7</v>
      </c>
      <c r="M361" s="10">
        <v>1</v>
      </c>
      <c r="O361" s="10">
        <v>1</v>
      </c>
      <c r="P361" s="10">
        <v>11.9</v>
      </c>
      <c r="Q361" s="10">
        <v>28.8</v>
      </c>
      <c r="R361" s="10">
        <v>28.4</v>
      </c>
      <c r="S361" s="10">
        <v>86.4</v>
      </c>
      <c r="T361" s="10">
        <v>1</v>
      </c>
    </row>
    <row r="362" spans="1:20" x14ac:dyDescent="0.25">
      <c r="A362" s="10">
        <v>1</v>
      </c>
      <c r="B362" s="10">
        <v>12.4</v>
      </c>
      <c r="C362" s="10">
        <v>24.5</v>
      </c>
      <c r="D362" s="10">
        <v>30.7</v>
      </c>
      <c r="E362" s="10">
        <v>93.1</v>
      </c>
      <c r="F362" s="10">
        <v>1</v>
      </c>
      <c r="G362" s="5"/>
      <c r="H362" s="10">
        <v>0</v>
      </c>
      <c r="I362" s="10">
        <v>14.8</v>
      </c>
      <c r="J362" s="10">
        <v>19.600000000000001</v>
      </c>
      <c r="K362" s="10">
        <v>29</v>
      </c>
      <c r="L362" s="10">
        <v>87.4</v>
      </c>
      <c r="M362" s="10">
        <v>0</v>
      </c>
      <c r="O362" s="10">
        <v>1</v>
      </c>
      <c r="P362" s="10">
        <v>12.4</v>
      </c>
      <c r="Q362" s="10">
        <v>24.8</v>
      </c>
      <c r="R362" s="10">
        <v>29.6</v>
      </c>
      <c r="S362" s="10">
        <v>93.4</v>
      </c>
      <c r="T362" s="10">
        <v>1</v>
      </c>
    </row>
    <row r="363" spans="1:20" x14ac:dyDescent="0.25">
      <c r="A363" s="10">
        <v>0</v>
      </c>
      <c r="B363" s="10">
        <v>11.3</v>
      </c>
      <c r="C363" s="10">
        <v>23.5</v>
      </c>
      <c r="D363" s="10">
        <v>28.4</v>
      </c>
      <c r="E363" s="10">
        <v>75.8</v>
      </c>
      <c r="F363" s="10">
        <v>1</v>
      </c>
      <c r="G363" s="5"/>
      <c r="H363" s="10">
        <v>1</v>
      </c>
      <c r="I363" s="10">
        <v>16</v>
      </c>
      <c r="J363" s="10">
        <v>19.7</v>
      </c>
      <c r="K363" s="10">
        <v>30.2</v>
      </c>
      <c r="L363" s="10">
        <v>90.9</v>
      </c>
      <c r="M363" s="10">
        <v>0</v>
      </c>
      <c r="O363" s="10">
        <v>0</v>
      </c>
      <c r="P363" s="10">
        <v>11.5</v>
      </c>
      <c r="Q363" s="10">
        <v>22.9</v>
      </c>
      <c r="R363" s="10">
        <v>28.8</v>
      </c>
      <c r="S363" s="10">
        <v>72</v>
      </c>
      <c r="T363" s="10">
        <v>1</v>
      </c>
    </row>
    <row r="364" spans="1:20" x14ac:dyDescent="0.25">
      <c r="A364" s="10">
        <v>1</v>
      </c>
      <c r="B364" s="10">
        <v>13.4</v>
      </c>
      <c r="C364" s="10">
        <v>17.7</v>
      </c>
      <c r="D364" s="10">
        <v>30.2</v>
      </c>
      <c r="E364" s="10">
        <v>79</v>
      </c>
      <c r="F364" s="10">
        <v>1</v>
      </c>
      <c r="G364" s="5"/>
      <c r="H364" s="10">
        <v>0</v>
      </c>
      <c r="I364" s="10">
        <v>16.5</v>
      </c>
      <c r="J364" s="10">
        <v>20.2</v>
      </c>
      <c r="K364" s="10">
        <v>28</v>
      </c>
      <c r="L364" s="10">
        <v>82.5</v>
      </c>
      <c r="M364" s="10">
        <v>0</v>
      </c>
      <c r="O364" s="10">
        <v>1</v>
      </c>
      <c r="P364" s="10">
        <v>9.6</v>
      </c>
      <c r="Q364" s="10">
        <v>23</v>
      </c>
      <c r="R364" s="10">
        <v>30.3</v>
      </c>
      <c r="S364" s="10">
        <v>87.7</v>
      </c>
      <c r="T364" s="10">
        <v>1</v>
      </c>
    </row>
    <row r="365" spans="1:20" x14ac:dyDescent="0.25">
      <c r="A365" s="10">
        <v>1</v>
      </c>
      <c r="B365" s="10">
        <v>13.2</v>
      </c>
      <c r="C365" s="10">
        <v>27</v>
      </c>
      <c r="D365" s="10">
        <v>31</v>
      </c>
      <c r="E365" s="10">
        <v>87.7</v>
      </c>
      <c r="F365" s="10">
        <v>1</v>
      </c>
      <c r="G365" s="5"/>
      <c r="H365" s="10">
        <v>1</v>
      </c>
      <c r="I365" s="10">
        <v>13.4</v>
      </c>
      <c r="J365" s="10">
        <v>22.4</v>
      </c>
      <c r="K365" s="10">
        <v>28.3</v>
      </c>
      <c r="L365" s="10">
        <v>83.3</v>
      </c>
      <c r="M365" s="10">
        <v>1</v>
      </c>
      <c r="O365" s="10">
        <v>1</v>
      </c>
      <c r="P365" s="10">
        <v>10.7</v>
      </c>
      <c r="Q365" s="10">
        <v>18.5</v>
      </c>
      <c r="R365" s="10">
        <v>28.4</v>
      </c>
      <c r="S365" s="10">
        <v>91.6</v>
      </c>
      <c r="T365" s="10">
        <v>1</v>
      </c>
    </row>
    <row r="366" spans="1:20" x14ac:dyDescent="0.25">
      <c r="A366" s="10">
        <v>0</v>
      </c>
      <c r="B366" s="10">
        <v>10.3</v>
      </c>
      <c r="C366" s="10">
        <v>20.100000000000001</v>
      </c>
      <c r="D366" s="10">
        <v>28.2</v>
      </c>
      <c r="E366" s="10">
        <v>86.3</v>
      </c>
      <c r="F366" s="10">
        <v>1</v>
      </c>
      <c r="G366" s="5"/>
      <c r="H366" s="10">
        <v>0</v>
      </c>
      <c r="I366" s="10">
        <v>15.7</v>
      </c>
      <c r="J366" s="10">
        <v>19.100000000000001</v>
      </c>
      <c r="K366" s="10">
        <v>28.9</v>
      </c>
      <c r="L366" s="10">
        <v>99.5</v>
      </c>
      <c r="M366" s="10">
        <v>0</v>
      </c>
      <c r="O366" s="10">
        <v>1</v>
      </c>
      <c r="P366" s="10">
        <v>11.5</v>
      </c>
      <c r="Q366" s="10">
        <v>18.5</v>
      </c>
      <c r="R366" s="10">
        <v>31.5</v>
      </c>
      <c r="S366" s="10">
        <v>72.2</v>
      </c>
      <c r="T366" s="10">
        <v>1</v>
      </c>
    </row>
    <row r="367" spans="1:20" x14ac:dyDescent="0.25">
      <c r="A367" s="10">
        <v>0</v>
      </c>
      <c r="B367" s="10">
        <v>10.6</v>
      </c>
      <c r="C367" s="10">
        <v>24.5</v>
      </c>
      <c r="D367" s="10">
        <v>28.3</v>
      </c>
      <c r="E367" s="10">
        <v>81.5</v>
      </c>
      <c r="F367" s="10">
        <v>1</v>
      </c>
      <c r="G367" s="5"/>
      <c r="H367" s="10">
        <v>0</v>
      </c>
      <c r="I367" s="10">
        <v>14.7</v>
      </c>
      <c r="J367" s="10">
        <v>28.8</v>
      </c>
      <c r="K367" s="10">
        <v>31.7</v>
      </c>
      <c r="L367" s="10">
        <v>93.6</v>
      </c>
      <c r="M367" s="10">
        <v>0</v>
      </c>
      <c r="O367" s="10">
        <v>1</v>
      </c>
      <c r="P367" s="10">
        <v>11.9</v>
      </c>
      <c r="Q367" s="10">
        <v>22.3</v>
      </c>
      <c r="R367" s="10">
        <v>28.6</v>
      </c>
      <c r="S367" s="10">
        <v>89.5</v>
      </c>
      <c r="T367" s="10">
        <v>1</v>
      </c>
    </row>
    <row r="368" spans="1:20" x14ac:dyDescent="0.25">
      <c r="A368" s="10">
        <v>1</v>
      </c>
      <c r="B368" s="10">
        <v>11.8</v>
      </c>
      <c r="C368" s="10">
        <v>24.3</v>
      </c>
      <c r="D368" s="10">
        <v>32</v>
      </c>
      <c r="E368" s="10">
        <v>80.599999999999994</v>
      </c>
      <c r="F368" s="10">
        <v>1</v>
      </c>
      <c r="G368" s="5"/>
      <c r="H368" s="10">
        <v>1</v>
      </c>
      <c r="I368" s="10">
        <v>16</v>
      </c>
      <c r="J368" s="10">
        <v>20.100000000000001</v>
      </c>
      <c r="K368" s="10">
        <v>31.1</v>
      </c>
      <c r="L368" s="10">
        <v>95.5</v>
      </c>
      <c r="M368" s="10">
        <v>0</v>
      </c>
      <c r="O368" s="10">
        <v>0</v>
      </c>
      <c r="P368" s="10">
        <v>10.5</v>
      </c>
      <c r="Q368" s="10">
        <v>17.899999999999999</v>
      </c>
      <c r="R368" s="10">
        <v>29.1</v>
      </c>
      <c r="S368" s="10">
        <v>80.900000000000006</v>
      </c>
      <c r="T368" s="10">
        <v>1</v>
      </c>
    </row>
    <row r="369" spans="1:20" x14ac:dyDescent="0.25">
      <c r="A369" s="10">
        <v>1</v>
      </c>
      <c r="B369" s="10">
        <v>11.5</v>
      </c>
      <c r="C369" s="10">
        <v>17</v>
      </c>
      <c r="D369" s="10">
        <v>30.6</v>
      </c>
      <c r="E369" s="10">
        <v>71</v>
      </c>
      <c r="F369" s="10">
        <v>1</v>
      </c>
      <c r="G369" s="5"/>
      <c r="H369" s="10">
        <v>1</v>
      </c>
      <c r="I369" s="10">
        <v>10.3</v>
      </c>
      <c r="J369" s="10">
        <v>26.1</v>
      </c>
      <c r="K369" s="10">
        <v>32.200000000000003</v>
      </c>
      <c r="L369" s="10">
        <v>96.7</v>
      </c>
      <c r="M369" s="10">
        <v>1</v>
      </c>
      <c r="O369" s="10">
        <v>1</v>
      </c>
      <c r="P369" s="10">
        <v>12</v>
      </c>
      <c r="Q369" s="10">
        <v>18</v>
      </c>
      <c r="R369" s="10">
        <v>31.2</v>
      </c>
      <c r="S369" s="10">
        <v>80.3</v>
      </c>
      <c r="T369" s="10">
        <v>1</v>
      </c>
    </row>
    <row r="370" spans="1:20" x14ac:dyDescent="0.25">
      <c r="A370" s="10">
        <v>1</v>
      </c>
      <c r="B370" s="10">
        <v>13</v>
      </c>
      <c r="C370" s="10">
        <v>19</v>
      </c>
      <c r="D370" s="10">
        <v>31.3</v>
      </c>
      <c r="E370" s="10">
        <v>77.3</v>
      </c>
      <c r="F370" s="10">
        <v>1</v>
      </c>
      <c r="G370" s="5"/>
      <c r="H370" s="10">
        <v>0</v>
      </c>
      <c r="I370" s="10">
        <v>11.3</v>
      </c>
      <c r="J370" s="10">
        <v>18.2</v>
      </c>
      <c r="K370" s="10">
        <v>30.7</v>
      </c>
      <c r="L370" s="10">
        <v>98</v>
      </c>
      <c r="M370" s="10">
        <v>1</v>
      </c>
      <c r="O370" s="10">
        <v>0</v>
      </c>
      <c r="P370" s="10">
        <v>10</v>
      </c>
      <c r="Q370" s="10">
        <v>29.8</v>
      </c>
      <c r="R370" s="10">
        <v>32</v>
      </c>
      <c r="S370" s="10">
        <v>92.1</v>
      </c>
      <c r="T370" s="10">
        <v>1</v>
      </c>
    </row>
    <row r="371" spans="1:20" x14ac:dyDescent="0.25">
      <c r="A371" s="10">
        <v>0</v>
      </c>
      <c r="B371" s="10">
        <v>11.2</v>
      </c>
      <c r="C371" s="10">
        <v>22.3</v>
      </c>
      <c r="D371" s="10">
        <v>29</v>
      </c>
      <c r="E371" s="10">
        <v>100.6</v>
      </c>
      <c r="F371" s="10">
        <v>1</v>
      </c>
      <c r="G371" s="5"/>
      <c r="H371" s="10">
        <v>1</v>
      </c>
      <c r="I371" s="10">
        <v>13.7</v>
      </c>
      <c r="J371" s="10">
        <v>28.6</v>
      </c>
      <c r="K371" s="10">
        <v>32.200000000000003</v>
      </c>
      <c r="L371" s="10">
        <v>82.2</v>
      </c>
      <c r="M371" s="10">
        <v>0</v>
      </c>
      <c r="O371" s="10">
        <v>0</v>
      </c>
      <c r="P371" s="10">
        <v>11.2</v>
      </c>
      <c r="Q371" s="10">
        <v>26</v>
      </c>
      <c r="R371" s="10">
        <v>29.8</v>
      </c>
      <c r="S371" s="10">
        <v>73</v>
      </c>
      <c r="T371" s="10">
        <v>1</v>
      </c>
    </row>
    <row r="372" spans="1:20" x14ac:dyDescent="0.25">
      <c r="A372" s="10">
        <v>1</v>
      </c>
      <c r="B372" s="10">
        <v>11</v>
      </c>
      <c r="C372" s="10">
        <v>29.5</v>
      </c>
      <c r="D372" s="10">
        <v>30.7</v>
      </c>
      <c r="E372" s="10">
        <v>72.599999999999994</v>
      </c>
      <c r="F372" s="10">
        <v>1</v>
      </c>
      <c r="G372" s="5"/>
      <c r="H372" s="10">
        <v>0</v>
      </c>
      <c r="I372" s="10">
        <v>10.7</v>
      </c>
      <c r="J372" s="10">
        <v>18.100000000000001</v>
      </c>
      <c r="K372" s="10">
        <v>31.5</v>
      </c>
      <c r="L372" s="10">
        <v>97.1</v>
      </c>
      <c r="M372" s="10">
        <v>1</v>
      </c>
      <c r="O372" s="10">
        <v>1</v>
      </c>
      <c r="P372" s="10">
        <v>13.4</v>
      </c>
      <c r="Q372" s="10">
        <v>26.6</v>
      </c>
      <c r="R372" s="10">
        <v>28.3</v>
      </c>
      <c r="S372" s="10">
        <v>88.6</v>
      </c>
      <c r="T372" s="10">
        <v>1</v>
      </c>
    </row>
    <row r="373" spans="1:20" x14ac:dyDescent="0.25">
      <c r="A373" s="10">
        <v>1</v>
      </c>
      <c r="B373" s="10">
        <v>11.4</v>
      </c>
      <c r="C373" s="10">
        <v>17.600000000000001</v>
      </c>
      <c r="D373" s="10">
        <v>30.2</v>
      </c>
      <c r="E373" s="10">
        <v>70</v>
      </c>
      <c r="F373" s="10">
        <v>1</v>
      </c>
      <c r="G373" s="5"/>
      <c r="H373" s="10">
        <v>0</v>
      </c>
      <c r="I373" s="10">
        <v>11.3</v>
      </c>
      <c r="J373" s="10">
        <v>18.600000000000001</v>
      </c>
      <c r="K373" s="10">
        <v>29.5</v>
      </c>
      <c r="L373" s="10">
        <v>99.6</v>
      </c>
      <c r="M373" s="10">
        <v>1</v>
      </c>
      <c r="O373" s="10">
        <v>0</v>
      </c>
      <c r="P373" s="10">
        <v>8.6</v>
      </c>
      <c r="Q373" s="10">
        <v>29.3</v>
      </c>
      <c r="R373" s="10">
        <v>28.9</v>
      </c>
      <c r="S373" s="10">
        <v>88.3</v>
      </c>
      <c r="T373" s="10">
        <v>1</v>
      </c>
    </row>
    <row r="374" spans="1:20" x14ac:dyDescent="0.25">
      <c r="A374" s="10">
        <v>0</v>
      </c>
      <c r="B374" s="10">
        <v>11.1</v>
      </c>
      <c r="C374" s="10">
        <v>18.3</v>
      </c>
      <c r="D374" s="10">
        <v>28.5</v>
      </c>
      <c r="E374" s="10">
        <v>73.3</v>
      </c>
      <c r="F374" s="10">
        <v>1</v>
      </c>
      <c r="G374" s="5"/>
      <c r="H374" s="10">
        <v>0</v>
      </c>
      <c r="I374" s="10">
        <v>14.7</v>
      </c>
      <c r="J374" s="10">
        <v>18.3</v>
      </c>
      <c r="K374" s="10">
        <v>29.3</v>
      </c>
      <c r="L374" s="10">
        <v>75.8</v>
      </c>
      <c r="M374" s="10">
        <v>0</v>
      </c>
      <c r="O374" s="10">
        <v>0</v>
      </c>
      <c r="P374" s="10">
        <v>7.5</v>
      </c>
      <c r="Q374" s="10">
        <v>28.8</v>
      </c>
      <c r="R374" s="10">
        <v>30.8</v>
      </c>
      <c r="S374" s="10">
        <v>86.4</v>
      </c>
      <c r="T374" s="10">
        <v>1</v>
      </c>
    </row>
    <row r="375" spans="1:20" x14ac:dyDescent="0.25">
      <c r="A375" s="10">
        <v>0</v>
      </c>
      <c r="B375" s="10">
        <v>10.4</v>
      </c>
      <c r="C375" s="10">
        <v>18.600000000000001</v>
      </c>
      <c r="D375" s="10">
        <v>29.1</v>
      </c>
      <c r="E375" s="10">
        <v>79.2</v>
      </c>
      <c r="F375" s="10">
        <v>1</v>
      </c>
      <c r="G375" s="5"/>
      <c r="H375" s="10">
        <v>1</v>
      </c>
      <c r="I375" s="10">
        <v>11.2</v>
      </c>
      <c r="J375" s="10">
        <v>27.7</v>
      </c>
      <c r="K375" s="10">
        <v>32</v>
      </c>
      <c r="L375" s="10">
        <v>70.400000000000006</v>
      </c>
      <c r="M375" s="10">
        <v>1</v>
      </c>
      <c r="O375" s="10">
        <v>1</v>
      </c>
      <c r="P375" s="10">
        <v>12.4</v>
      </c>
      <c r="Q375" s="10">
        <v>21.7</v>
      </c>
      <c r="R375" s="10">
        <v>31.9</v>
      </c>
      <c r="S375" s="10">
        <v>90.9</v>
      </c>
      <c r="T375" s="10">
        <v>1</v>
      </c>
    </row>
    <row r="376" spans="1:20" x14ac:dyDescent="0.25">
      <c r="A376" s="10">
        <v>0</v>
      </c>
      <c r="B376" s="10">
        <v>10.5</v>
      </c>
      <c r="C376" s="10">
        <v>18.8</v>
      </c>
      <c r="D376" s="10">
        <v>29.1</v>
      </c>
      <c r="E376" s="10">
        <v>80.599999999999994</v>
      </c>
      <c r="F376" s="10">
        <v>1</v>
      </c>
      <c r="G376" s="5"/>
      <c r="H376" s="10">
        <v>1</v>
      </c>
      <c r="I376" s="10">
        <v>12.5</v>
      </c>
      <c r="J376" s="10">
        <v>25.5</v>
      </c>
      <c r="K376" s="10">
        <v>32</v>
      </c>
      <c r="L376" s="10">
        <v>72.099999999999994</v>
      </c>
      <c r="M376" s="10">
        <v>1</v>
      </c>
      <c r="O376" s="10">
        <v>1</v>
      </c>
      <c r="P376" s="10">
        <v>10.8</v>
      </c>
      <c r="Q376" s="10">
        <v>26.7</v>
      </c>
      <c r="R376" s="10">
        <v>31.6</v>
      </c>
      <c r="S376" s="10">
        <v>98.3</v>
      </c>
      <c r="T376" s="10">
        <v>1</v>
      </c>
    </row>
    <row r="377" spans="1:20" x14ac:dyDescent="0.25">
      <c r="A377" s="10">
        <v>1</v>
      </c>
      <c r="B377" s="10">
        <v>10.7</v>
      </c>
      <c r="C377" s="10">
        <v>20</v>
      </c>
      <c r="D377" s="10">
        <v>29.1</v>
      </c>
      <c r="E377" s="10">
        <v>79.3</v>
      </c>
      <c r="F377" s="10">
        <v>1</v>
      </c>
      <c r="G377" s="5"/>
      <c r="H377" s="10">
        <v>0</v>
      </c>
      <c r="I377" s="10">
        <v>15.4</v>
      </c>
      <c r="J377" s="10">
        <v>16.899999999999999</v>
      </c>
      <c r="K377" s="10">
        <v>28</v>
      </c>
      <c r="L377" s="10">
        <v>94.9</v>
      </c>
      <c r="M377" s="10">
        <v>0</v>
      </c>
      <c r="O377" s="10">
        <v>0</v>
      </c>
      <c r="P377" s="10">
        <v>11.9</v>
      </c>
      <c r="Q377" s="10">
        <v>16.7</v>
      </c>
      <c r="R377" s="10">
        <v>31.9</v>
      </c>
      <c r="S377" s="10">
        <v>74.099999999999994</v>
      </c>
      <c r="T377" s="10">
        <v>1</v>
      </c>
    </row>
    <row r="378" spans="1:20" x14ac:dyDescent="0.25">
      <c r="A378" s="10">
        <v>1</v>
      </c>
      <c r="B378" s="10">
        <v>12.6</v>
      </c>
      <c r="C378" s="10">
        <v>22</v>
      </c>
      <c r="D378" s="10">
        <v>28.2</v>
      </c>
      <c r="E378" s="10">
        <v>99.5</v>
      </c>
      <c r="F378" s="10">
        <v>1</v>
      </c>
      <c r="G378" s="5"/>
      <c r="H378" s="10">
        <v>0</v>
      </c>
      <c r="I378" s="10">
        <v>15</v>
      </c>
      <c r="J378" s="10">
        <v>27.5</v>
      </c>
      <c r="K378" s="10">
        <v>28.5</v>
      </c>
      <c r="L378" s="10">
        <v>80.3</v>
      </c>
      <c r="M378" s="10">
        <v>0</v>
      </c>
      <c r="O378" s="10">
        <v>1</v>
      </c>
      <c r="P378" s="10">
        <v>12.5</v>
      </c>
      <c r="Q378" s="10">
        <v>22.2</v>
      </c>
      <c r="R378" s="10">
        <v>27.9</v>
      </c>
      <c r="S378" s="10">
        <v>89.4</v>
      </c>
      <c r="T378" s="10">
        <v>1</v>
      </c>
    </row>
    <row r="379" spans="1:20" x14ac:dyDescent="0.25">
      <c r="A379" s="10">
        <v>0</v>
      </c>
      <c r="B379" s="10">
        <v>10.8</v>
      </c>
      <c r="C379" s="10">
        <v>27.5</v>
      </c>
      <c r="D379" s="10">
        <v>28.2</v>
      </c>
      <c r="E379" s="10">
        <v>93</v>
      </c>
      <c r="F379" s="10">
        <v>1</v>
      </c>
      <c r="G379" s="5"/>
      <c r="H379" s="10">
        <v>0</v>
      </c>
      <c r="I379" s="10">
        <v>15.6</v>
      </c>
      <c r="J379" s="10">
        <v>25.7</v>
      </c>
      <c r="K379" s="10">
        <v>31.9</v>
      </c>
      <c r="L379" s="10">
        <v>74.2</v>
      </c>
      <c r="M379" s="10">
        <v>0</v>
      </c>
      <c r="O379" s="10">
        <v>1</v>
      </c>
      <c r="P379" s="10">
        <v>10.6</v>
      </c>
      <c r="Q379" s="10">
        <v>29.5</v>
      </c>
      <c r="R379" s="10">
        <v>30.4</v>
      </c>
      <c r="S379" s="10">
        <v>85</v>
      </c>
      <c r="T379" s="10">
        <v>1</v>
      </c>
    </row>
    <row r="380" spans="1:20" x14ac:dyDescent="0.25">
      <c r="A380" s="10">
        <v>1</v>
      </c>
      <c r="B380" s="10">
        <v>12.7</v>
      </c>
      <c r="C380" s="10">
        <v>24.1</v>
      </c>
      <c r="D380" s="10">
        <v>28.7</v>
      </c>
      <c r="E380" s="10">
        <v>97.2</v>
      </c>
      <c r="F380" s="10">
        <v>1</v>
      </c>
      <c r="G380" s="5"/>
      <c r="H380" s="10">
        <v>1</v>
      </c>
      <c r="I380" s="10">
        <v>15.4</v>
      </c>
      <c r="J380" s="10">
        <v>24.5</v>
      </c>
      <c r="K380" s="10">
        <v>28.9</v>
      </c>
      <c r="L380" s="10">
        <v>73.599999999999994</v>
      </c>
      <c r="M380" s="10">
        <v>0</v>
      </c>
      <c r="O380" s="10">
        <v>1</v>
      </c>
      <c r="P380" s="10">
        <v>12.9</v>
      </c>
      <c r="Q380" s="10">
        <v>25.7</v>
      </c>
      <c r="R380" s="10">
        <v>29.7</v>
      </c>
      <c r="S380" s="10">
        <v>80.599999999999994</v>
      </c>
      <c r="T380" s="10">
        <v>1</v>
      </c>
    </row>
    <row r="381" spans="1:20" x14ac:dyDescent="0.25">
      <c r="A381" s="10">
        <v>1</v>
      </c>
      <c r="B381" s="10">
        <v>13.3</v>
      </c>
      <c r="C381" s="10">
        <v>17.600000000000001</v>
      </c>
      <c r="D381" s="10">
        <v>32.4</v>
      </c>
      <c r="E381" s="10">
        <v>101.5</v>
      </c>
      <c r="F381" s="10">
        <v>1</v>
      </c>
      <c r="G381" s="5"/>
      <c r="H381" s="10">
        <v>1</v>
      </c>
      <c r="I381" s="10">
        <v>13</v>
      </c>
      <c r="J381" s="10">
        <v>28.5</v>
      </c>
      <c r="K381" s="10">
        <v>30.8</v>
      </c>
      <c r="L381" s="10">
        <v>98.2</v>
      </c>
      <c r="M381" s="10">
        <v>1</v>
      </c>
      <c r="O381" s="10">
        <v>1</v>
      </c>
      <c r="P381" s="10">
        <v>12.5</v>
      </c>
      <c r="Q381" s="10">
        <v>24.9</v>
      </c>
      <c r="R381" s="10">
        <v>30.5</v>
      </c>
      <c r="S381" s="10">
        <v>77.3</v>
      </c>
      <c r="T381" s="10">
        <v>1</v>
      </c>
    </row>
    <row r="382" spans="1:20" x14ac:dyDescent="0.25">
      <c r="A382" s="10">
        <v>0</v>
      </c>
      <c r="B382" s="10">
        <v>10.5</v>
      </c>
      <c r="C382" s="10">
        <v>25.5</v>
      </c>
      <c r="D382" s="10">
        <v>29.6</v>
      </c>
      <c r="E382" s="10">
        <v>83.2</v>
      </c>
      <c r="F382" s="10">
        <v>1</v>
      </c>
      <c r="G382" s="5"/>
      <c r="H382" s="10">
        <v>0</v>
      </c>
      <c r="I382" s="10">
        <v>15.8</v>
      </c>
      <c r="J382" s="10">
        <v>25.7</v>
      </c>
      <c r="K382" s="10">
        <v>29.7</v>
      </c>
      <c r="L382" s="10">
        <v>85.6</v>
      </c>
      <c r="M382" s="10">
        <v>0</v>
      </c>
      <c r="O382" s="10">
        <v>0</v>
      </c>
      <c r="P382" s="10">
        <v>10.5</v>
      </c>
      <c r="Q382" s="10">
        <v>28.5</v>
      </c>
      <c r="R382" s="10">
        <v>32.299999999999997</v>
      </c>
      <c r="S382" s="10">
        <v>70</v>
      </c>
      <c r="T382" s="10">
        <v>1</v>
      </c>
    </row>
    <row r="383" spans="1:20" x14ac:dyDescent="0.25">
      <c r="A383" s="10">
        <v>0</v>
      </c>
      <c r="B383" s="10">
        <v>11.5</v>
      </c>
      <c r="C383" s="10">
        <v>20.8</v>
      </c>
      <c r="D383" s="10">
        <v>30.7</v>
      </c>
      <c r="E383" s="10">
        <v>98.2</v>
      </c>
      <c r="F383" s="10">
        <v>1</v>
      </c>
      <c r="G383" s="5"/>
      <c r="H383" s="10">
        <v>1</v>
      </c>
      <c r="I383" s="10">
        <v>12.2</v>
      </c>
      <c r="J383" s="10">
        <v>24.3</v>
      </c>
      <c r="K383" s="10">
        <v>31.4</v>
      </c>
      <c r="L383" s="10">
        <v>101.5</v>
      </c>
      <c r="M383" s="10">
        <v>1</v>
      </c>
      <c r="O383" s="10">
        <v>1</v>
      </c>
      <c r="P383" s="10">
        <v>10.7</v>
      </c>
      <c r="Q383" s="10">
        <v>22.7</v>
      </c>
      <c r="R383" s="10">
        <v>30.5</v>
      </c>
      <c r="S383" s="10">
        <v>86.6</v>
      </c>
      <c r="T383" s="10">
        <v>1</v>
      </c>
    </row>
    <row r="384" spans="1:20" x14ac:dyDescent="0.25">
      <c r="A384" s="10">
        <v>0</v>
      </c>
      <c r="B384" s="10">
        <v>10.4</v>
      </c>
      <c r="C384" s="10">
        <v>23.4</v>
      </c>
      <c r="D384" s="10">
        <v>29.8</v>
      </c>
      <c r="E384" s="10">
        <v>92.5</v>
      </c>
      <c r="F384" s="10">
        <v>1</v>
      </c>
      <c r="G384" s="5"/>
      <c r="H384" s="10">
        <v>0</v>
      </c>
      <c r="I384" s="10">
        <v>10.9</v>
      </c>
      <c r="J384" s="10">
        <v>26.4</v>
      </c>
      <c r="K384" s="10">
        <v>30.4</v>
      </c>
      <c r="L384" s="10">
        <v>89.7</v>
      </c>
      <c r="M384" s="10">
        <v>1</v>
      </c>
      <c r="O384" s="10">
        <v>1</v>
      </c>
      <c r="P384" s="10">
        <v>12.9</v>
      </c>
      <c r="Q384" s="10">
        <v>28.7</v>
      </c>
      <c r="R384" s="10">
        <v>31.1</v>
      </c>
      <c r="S384" s="10">
        <v>71.3</v>
      </c>
      <c r="T384" s="10">
        <v>1</v>
      </c>
    </row>
    <row r="385" spans="1:20" x14ac:dyDescent="0.25">
      <c r="A385" s="10">
        <v>1</v>
      </c>
      <c r="B385" s="10">
        <v>13</v>
      </c>
      <c r="C385" s="10">
        <v>21.4</v>
      </c>
      <c r="D385" s="10">
        <v>28.8</v>
      </c>
      <c r="E385" s="10">
        <v>78.400000000000006</v>
      </c>
      <c r="F385" s="10">
        <v>1</v>
      </c>
      <c r="G385" s="5"/>
      <c r="H385" s="10">
        <v>0</v>
      </c>
      <c r="I385" s="10">
        <v>12.9</v>
      </c>
      <c r="J385" s="10">
        <v>17.3</v>
      </c>
      <c r="K385" s="10">
        <v>28.3</v>
      </c>
      <c r="L385" s="10">
        <v>81.7</v>
      </c>
      <c r="M385" s="10">
        <v>0</v>
      </c>
      <c r="O385" s="10">
        <v>1</v>
      </c>
      <c r="P385" s="10">
        <v>12.8</v>
      </c>
      <c r="Q385" s="10">
        <v>18.399999999999999</v>
      </c>
      <c r="R385" s="10">
        <v>31</v>
      </c>
      <c r="S385" s="10">
        <v>101.6</v>
      </c>
      <c r="T385" s="10">
        <v>1</v>
      </c>
    </row>
    <row r="386" spans="1:20" x14ac:dyDescent="0.25">
      <c r="A386" s="10">
        <v>1</v>
      </c>
      <c r="B386" s="10">
        <v>12.3</v>
      </c>
      <c r="C386" s="10">
        <v>19.2</v>
      </c>
      <c r="D386" s="10">
        <v>28.1</v>
      </c>
      <c r="E386" s="10">
        <v>100.8</v>
      </c>
      <c r="F386" s="10">
        <v>1</v>
      </c>
      <c r="G386" s="5"/>
      <c r="H386" s="10">
        <v>0</v>
      </c>
      <c r="I386" s="10">
        <v>12.4</v>
      </c>
      <c r="J386" s="10">
        <v>25.6</v>
      </c>
      <c r="K386" s="10">
        <v>29.6</v>
      </c>
      <c r="L386" s="10">
        <v>89.9</v>
      </c>
      <c r="M386" s="10">
        <v>0</v>
      </c>
      <c r="O386" s="10">
        <v>1</v>
      </c>
      <c r="P386" s="10">
        <v>13.2</v>
      </c>
      <c r="Q386" s="10">
        <v>16.2</v>
      </c>
      <c r="R386" s="10">
        <v>30.6</v>
      </c>
      <c r="S386" s="10">
        <v>70.400000000000006</v>
      </c>
      <c r="T386" s="10">
        <v>1</v>
      </c>
    </row>
    <row r="387" spans="1:20" x14ac:dyDescent="0.25">
      <c r="A387" s="10">
        <v>0</v>
      </c>
      <c r="B387" s="10">
        <v>11.8</v>
      </c>
      <c r="C387" s="10">
        <v>20.6</v>
      </c>
      <c r="D387" s="10">
        <v>31.9</v>
      </c>
      <c r="E387" s="10">
        <v>99.7</v>
      </c>
      <c r="F387" s="10">
        <v>1</v>
      </c>
      <c r="G387" s="5"/>
      <c r="H387" s="10">
        <v>0</v>
      </c>
      <c r="I387" s="10">
        <v>10.6</v>
      </c>
      <c r="J387" s="10">
        <v>16</v>
      </c>
      <c r="K387" s="10">
        <v>32.200000000000003</v>
      </c>
      <c r="L387" s="10">
        <v>96.8</v>
      </c>
      <c r="M387" s="10">
        <v>1</v>
      </c>
      <c r="O387" s="10">
        <v>0</v>
      </c>
      <c r="P387" s="10">
        <v>11.7</v>
      </c>
      <c r="Q387" s="10">
        <v>29.8</v>
      </c>
      <c r="R387" s="10">
        <v>31.8</v>
      </c>
      <c r="S387" s="10">
        <v>101.3</v>
      </c>
      <c r="T387" s="10">
        <v>1</v>
      </c>
    </row>
    <row r="388" spans="1:20" x14ac:dyDescent="0.25">
      <c r="A388" s="10">
        <v>0</v>
      </c>
      <c r="B388" s="10">
        <v>10.3</v>
      </c>
      <c r="C388" s="10">
        <v>27</v>
      </c>
      <c r="D388" s="10">
        <v>32.4</v>
      </c>
      <c r="E388" s="10">
        <v>71.599999999999994</v>
      </c>
      <c r="F388" s="10">
        <v>1</v>
      </c>
      <c r="G388" s="5"/>
      <c r="H388" s="10">
        <v>0</v>
      </c>
      <c r="I388" s="10">
        <v>14.9</v>
      </c>
      <c r="J388" s="10">
        <v>17.600000000000001</v>
      </c>
      <c r="K388" s="10">
        <v>31.1</v>
      </c>
      <c r="L388" s="10">
        <v>86.5</v>
      </c>
      <c r="M388" s="10">
        <v>0</v>
      </c>
      <c r="O388" s="10">
        <v>1</v>
      </c>
      <c r="P388" s="10">
        <v>12</v>
      </c>
      <c r="Q388" s="10">
        <v>29.1</v>
      </c>
      <c r="R388" s="10">
        <v>28.8</v>
      </c>
      <c r="S388" s="10">
        <v>82.7</v>
      </c>
      <c r="T388" s="10">
        <v>1</v>
      </c>
    </row>
    <row r="389" spans="1:20" x14ac:dyDescent="0.25">
      <c r="A389" s="10">
        <v>0</v>
      </c>
      <c r="B389" s="10">
        <v>11</v>
      </c>
      <c r="C389" s="10">
        <v>19.5</v>
      </c>
      <c r="D389" s="10">
        <v>31.7</v>
      </c>
      <c r="E389" s="10">
        <v>77.099999999999994</v>
      </c>
      <c r="F389" s="10">
        <v>1</v>
      </c>
      <c r="G389" s="5"/>
      <c r="H389" s="10">
        <v>0</v>
      </c>
      <c r="I389" s="10">
        <v>14</v>
      </c>
      <c r="J389" s="10">
        <v>20.3</v>
      </c>
      <c r="K389" s="10">
        <v>32.1</v>
      </c>
      <c r="L389" s="10">
        <v>74</v>
      </c>
      <c r="M389" s="10">
        <v>0</v>
      </c>
      <c r="O389" s="10">
        <v>1</v>
      </c>
      <c r="P389" s="10">
        <v>12.5</v>
      </c>
      <c r="Q389" s="10">
        <v>21.7</v>
      </c>
      <c r="R389" s="10">
        <v>29.7</v>
      </c>
      <c r="S389" s="10">
        <v>88.6</v>
      </c>
      <c r="T389" s="10">
        <v>1</v>
      </c>
    </row>
    <row r="390" spans="1:20" x14ac:dyDescent="0.25">
      <c r="A390" s="10">
        <v>1</v>
      </c>
      <c r="B390" s="10">
        <v>12.5</v>
      </c>
      <c r="C390" s="10">
        <v>25.2</v>
      </c>
      <c r="D390" s="10">
        <v>31.5</v>
      </c>
      <c r="E390" s="10">
        <v>91.7</v>
      </c>
      <c r="F390" s="10">
        <v>1</v>
      </c>
      <c r="G390" s="5"/>
      <c r="H390" s="10">
        <v>0</v>
      </c>
      <c r="I390" s="10">
        <v>12.1</v>
      </c>
      <c r="J390" s="10">
        <v>26.3</v>
      </c>
      <c r="K390" s="10">
        <v>29.8</v>
      </c>
      <c r="L390" s="10">
        <v>84.9</v>
      </c>
      <c r="M390" s="10">
        <v>0</v>
      </c>
      <c r="O390" s="10">
        <v>1</v>
      </c>
      <c r="P390" s="10">
        <v>11.4</v>
      </c>
      <c r="Q390" s="10">
        <v>29</v>
      </c>
      <c r="R390" s="10">
        <v>32.1</v>
      </c>
      <c r="S390" s="10">
        <v>96.4</v>
      </c>
      <c r="T390" s="10">
        <v>1</v>
      </c>
    </row>
    <row r="391" spans="1:20" x14ac:dyDescent="0.25">
      <c r="A391" s="10">
        <v>0</v>
      </c>
      <c r="B391" s="10">
        <v>6.6</v>
      </c>
      <c r="C391" s="10">
        <v>28.7</v>
      </c>
      <c r="D391" s="10">
        <v>31</v>
      </c>
      <c r="E391" s="10">
        <v>81.599999999999994</v>
      </c>
      <c r="F391" s="10">
        <v>1</v>
      </c>
      <c r="G391" s="5"/>
      <c r="H391" s="10">
        <v>0</v>
      </c>
      <c r="I391" s="10">
        <v>13.5</v>
      </c>
      <c r="J391" s="10">
        <v>22.3</v>
      </c>
      <c r="K391" s="10">
        <v>29.9</v>
      </c>
      <c r="L391" s="10">
        <v>86.3</v>
      </c>
      <c r="M391" s="10">
        <v>0</v>
      </c>
      <c r="O391" s="10">
        <v>1</v>
      </c>
      <c r="P391" s="10">
        <v>11.1</v>
      </c>
      <c r="Q391" s="10">
        <v>25</v>
      </c>
      <c r="R391" s="10">
        <v>31.7</v>
      </c>
      <c r="S391" s="10">
        <v>79.5</v>
      </c>
      <c r="T391" s="10">
        <v>1</v>
      </c>
    </row>
    <row r="392" spans="1:20" x14ac:dyDescent="0.25">
      <c r="A392" s="10">
        <v>1</v>
      </c>
      <c r="B392" s="10">
        <v>10</v>
      </c>
      <c r="C392" s="10">
        <v>20.9</v>
      </c>
      <c r="D392" s="10">
        <v>31.2</v>
      </c>
      <c r="E392" s="10">
        <v>72.5</v>
      </c>
      <c r="F392" s="10">
        <v>1</v>
      </c>
      <c r="G392" s="5"/>
      <c r="H392" s="10">
        <v>1</v>
      </c>
      <c r="I392" s="10">
        <v>15.1</v>
      </c>
      <c r="J392" s="10">
        <v>17.100000000000001</v>
      </c>
      <c r="K392" s="10">
        <v>28.2</v>
      </c>
      <c r="L392" s="10">
        <v>86.8</v>
      </c>
      <c r="M392" s="10">
        <v>0</v>
      </c>
      <c r="O392" s="10">
        <v>1</v>
      </c>
      <c r="P392" s="10">
        <v>13.2</v>
      </c>
      <c r="Q392" s="10">
        <v>27.4</v>
      </c>
      <c r="R392" s="10">
        <v>30.6</v>
      </c>
      <c r="S392" s="10">
        <v>101</v>
      </c>
      <c r="T392" s="10">
        <v>1</v>
      </c>
    </row>
    <row r="393" spans="1:20" x14ac:dyDescent="0.25">
      <c r="A393" s="10">
        <v>1</v>
      </c>
      <c r="B393" s="10">
        <v>12.1</v>
      </c>
      <c r="C393" s="10">
        <v>19.899999999999999</v>
      </c>
      <c r="D393" s="10">
        <v>32.4</v>
      </c>
      <c r="E393" s="10">
        <v>90.9</v>
      </c>
      <c r="F393" s="10">
        <v>1</v>
      </c>
      <c r="G393" s="5"/>
      <c r="H393" s="10">
        <v>0</v>
      </c>
      <c r="I393" s="10">
        <v>11.9</v>
      </c>
      <c r="J393" s="10">
        <v>23.7</v>
      </c>
      <c r="K393" s="10">
        <v>29.9</v>
      </c>
      <c r="L393" s="10">
        <v>69.900000000000006</v>
      </c>
      <c r="M393" s="10">
        <v>1</v>
      </c>
      <c r="O393" s="10">
        <v>1</v>
      </c>
      <c r="P393" s="10">
        <v>10.4</v>
      </c>
      <c r="Q393" s="10">
        <v>29</v>
      </c>
      <c r="R393" s="10">
        <v>30</v>
      </c>
      <c r="S393" s="10">
        <v>92.3</v>
      </c>
      <c r="T393" s="10">
        <v>1</v>
      </c>
    </row>
    <row r="394" spans="1:20" x14ac:dyDescent="0.25">
      <c r="A394" s="10">
        <v>0</v>
      </c>
      <c r="B394" s="10">
        <v>8.9</v>
      </c>
      <c r="C394" s="10">
        <v>18.3</v>
      </c>
      <c r="D394" s="10">
        <v>31.7</v>
      </c>
      <c r="E394" s="10">
        <v>82.8</v>
      </c>
      <c r="F394" s="10">
        <v>1</v>
      </c>
      <c r="G394" s="5"/>
      <c r="H394" s="10">
        <v>0</v>
      </c>
      <c r="I394" s="10">
        <v>14.7</v>
      </c>
      <c r="J394" s="10">
        <v>23.4</v>
      </c>
      <c r="K394" s="10">
        <v>29</v>
      </c>
      <c r="L394" s="10">
        <v>99.6</v>
      </c>
      <c r="M394" s="10">
        <v>0</v>
      </c>
      <c r="O394" s="10">
        <v>1</v>
      </c>
      <c r="P394" s="10">
        <v>10.3</v>
      </c>
      <c r="Q394" s="10">
        <v>22.5</v>
      </c>
      <c r="R394" s="10">
        <v>32.1</v>
      </c>
      <c r="S394" s="10">
        <v>75</v>
      </c>
      <c r="T394" s="10">
        <v>1</v>
      </c>
    </row>
    <row r="395" spans="1:20" x14ac:dyDescent="0.25">
      <c r="A395" s="10">
        <v>0</v>
      </c>
      <c r="B395" s="10">
        <v>9.1999999999999993</v>
      </c>
      <c r="C395" s="10">
        <v>21.5</v>
      </c>
      <c r="D395" s="10">
        <v>31.6</v>
      </c>
      <c r="E395" s="10">
        <v>99.7</v>
      </c>
      <c r="F395" s="10">
        <v>1</v>
      </c>
      <c r="G395" s="5"/>
      <c r="H395" s="10">
        <v>0</v>
      </c>
      <c r="I395" s="10">
        <v>13.1</v>
      </c>
      <c r="J395" s="10">
        <v>21.8</v>
      </c>
      <c r="K395" s="10">
        <v>30.8</v>
      </c>
      <c r="L395" s="10">
        <v>90.4</v>
      </c>
      <c r="M395" s="10">
        <v>0</v>
      </c>
      <c r="O395" s="10">
        <v>1</v>
      </c>
      <c r="P395" s="10">
        <v>12.7</v>
      </c>
      <c r="Q395" s="10">
        <v>27.8</v>
      </c>
      <c r="R395" s="10">
        <v>28.4</v>
      </c>
      <c r="S395" s="10">
        <v>72.3</v>
      </c>
      <c r="T395" s="10">
        <v>1</v>
      </c>
    </row>
    <row r="396" spans="1:20" x14ac:dyDescent="0.25">
      <c r="A396" s="10">
        <v>0</v>
      </c>
      <c r="B396" s="10">
        <v>9.9</v>
      </c>
      <c r="C396" s="10">
        <v>16.7</v>
      </c>
      <c r="D396" s="10">
        <v>30</v>
      </c>
      <c r="E396" s="10">
        <v>78.400000000000006</v>
      </c>
      <c r="F396" s="10">
        <v>1</v>
      </c>
      <c r="G396" s="5"/>
      <c r="H396" s="10">
        <v>0</v>
      </c>
      <c r="I396" s="10">
        <v>11.1</v>
      </c>
      <c r="J396" s="10">
        <v>20.399999999999999</v>
      </c>
      <c r="K396" s="10">
        <v>30.9</v>
      </c>
      <c r="L396" s="10">
        <v>101.6</v>
      </c>
      <c r="M396" s="10">
        <v>1</v>
      </c>
      <c r="O396" s="10">
        <v>1</v>
      </c>
      <c r="P396" s="10">
        <v>12.6</v>
      </c>
      <c r="Q396" s="10">
        <v>16.100000000000001</v>
      </c>
      <c r="R396" s="10">
        <v>31.1</v>
      </c>
      <c r="S396" s="10">
        <v>94.2</v>
      </c>
      <c r="T396" s="10">
        <v>1</v>
      </c>
    </row>
    <row r="397" spans="1:20" x14ac:dyDescent="0.25">
      <c r="A397" s="10">
        <v>1</v>
      </c>
      <c r="B397" s="10">
        <v>11.7</v>
      </c>
      <c r="C397" s="10">
        <v>18.100000000000001</v>
      </c>
      <c r="D397" s="10">
        <v>31.4</v>
      </c>
      <c r="E397" s="10">
        <v>83.5</v>
      </c>
      <c r="F397" s="10">
        <v>1</v>
      </c>
      <c r="G397" s="5"/>
      <c r="H397" s="10">
        <v>0</v>
      </c>
      <c r="I397" s="10">
        <v>13.5</v>
      </c>
      <c r="J397" s="10">
        <v>19.5</v>
      </c>
      <c r="K397" s="10">
        <v>32.299999999999997</v>
      </c>
      <c r="L397" s="10">
        <v>80.400000000000006</v>
      </c>
      <c r="M397" s="10">
        <v>0</v>
      </c>
      <c r="O397" s="10">
        <v>1</v>
      </c>
      <c r="P397" s="10">
        <v>13.4</v>
      </c>
      <c r="Q397" s="10">
        <v>28.6</v>
      </c>
      <c r="R397" s="10">
        <v>32</v>
      </c>
      <c r="S397" s="10">
        <v>94</v>
      </c>
      <c r="T397" s="10">
        <v>1</v>
      </c>
    </row>
    <row r="398" spans="1:20" x14ac:dyDescent="0.25">
      <c r="A398" s="10">
        <v>1</v>
      </c>
      <c r="B398" s="10">
        <v>11.8</v>
      </c>
      <c r="C398" s="10">
        <v>24.4</v>
      </c>
      <c r="D398" s="10">
        <v>30.6</v>
      </c>
      <c r="E398" s="10">
        <v>77.400000000000006</v>
      </c>
      <c r="F398" s="10">
        <v>1</v>
      </c>
      <c r="G398" s="5"/>
      <c r="H398" s="10">
        <v>1</v>
      </c>
      <c r="I398" s="10">
        <v>12</v>
      </c>
      <c r="J398" s="10">
        <v>28.1</v>
      </c>
      <c r="K398" s="10">
        <v>30.9</v>
      </c>
      <c r="L398" s="10">
        <v>77.900000000000006</v>
      </c>
      <c r="M398" s="10">
        <v>1</v>
      </c>
      <c r="O398" s="10">
        <v>1</v>
      </c>
      <c r="P398" s="10">
        <v>11.5</v>
      </c>
      <c r="Q398" s="10">
        <v>25.7</v>
      </c>
      <c r="R398" s="10">
        <v>30.4</v>
      </c>
      <c r="S398" s="10">
        <v>70.2</v>
      </c>
      <c r="T398" s="10">
        <v>1</v>
      </c>
    </row>
    <row r="399" spans="1:20" x14ac:dyDescent="0.25">
      <c r="A399" s="10">
        <v>1</v>
      </c>
      <c r="B399" s="10">
        <v>12</v>
      </c>
      <c r="C399" s="10">
        <v>23.6</v>
      </c>
      <c r="D399" s="10">
        <v>28.3</v>
      </c>
      <c r="E399" s="10">
        <v>89.8</v>
      </c>
      <c r="F399" s="10">
        <v>1</v>
      </c>
      <c r="G399" s="5"/>
      <c r="H399" s="10">
        <v>0</v>
      </c>
      <c r="I399" s="10">
        <v>16.5</v>
      </c>
      <c r="J399" s="10">
        <v>28</v>
      </c>
      <c r="K399" s="10">
        <v>32.200000000000003</v>
      </c>
      <c r="L399" s="10">
        <v>99.3</v>
      </c>
      <c r="M399" s="10">
        <v>0</v>
      </c>
      <c r="O399" s="10">
        <v>0</v>
      </c>
      <c r="P399" s="10">
        <v>11.5</v>
      </c>
      <c r="Q399" s="10">
        <v>22.7</v>
      </c>
      <c r="R399" s="10">
        <v>30.6</v>
      </c>
      <c r="S399" s="10">
        <v>87.3</v>
      </c>
      <c r="T399" s="10">
        <v>1</v>
      </c>
    </row>
    <row r="400" spans="1:20" x14ac:dyDescent="0.25">
      <c r="A400" s="10">
        <v>0</v>
      </c>
      <c r="B400" s="10">
        <v>11.1</v>
      </c>
      <c r="C400" s="10">
        <v>29.3</v>
      </c>
      <c r="D400" s="10">
        <v>32.200000000000003</v>
      </c>
      <c r="E400" s="10">
        <v>78.7</v>
      </c>
      <c r="F400" s="10">
        <v>1</v>
      </c>
      <c r="G400" s="5"/>
      <c r="H400" s="10">
        <v>0</v>
      </c>
      <c r="I400" s="10">
        <v>15.2</v>
      </c>
      <c r="J400" s="10">
        <v>21.9</v>
      </c>
      <c r="K400" s="10">
        <v>29.6</v>
      </c>
      <c r="L400" s="10">
        <v>69.5</v>
      </c>
      <c r="M400" s="10">
        <v>0</v>
      </c>
      <c r="O400" s="10">
        <v>0</v>
      </c>
      <c r="P400" s="10">
        <v>10.7</v>
      </c>
      <c r="Q400" s="10">
        <v>26.8</v>
      </c>
      <c r="R400" s="10">
        <v>32.200000000000003</v>
      </c>
      <c r="S400" s="10">
        <v>86.6</v>
      </c>
      <c r="T400" s="10">
        <v>1</v>
      </c>
    </row>
    <row r="401" spans="1:20" x14ac:dyDescent="0.25">
      <c r="A401" s="10">
        <v>1</v>
      </c>
      <c r="B401" s="10">
        <v>9</v>
      </c>
      <c r="C401" s="10">
        <v>23</v>
      </c>
      <c r="D401" s="10">
        <v>30.5</v>
      </c>
      <c r="E401" s="10">
        <v>69.8</v>
      </c>
      <c r="F401" s="10">
        <v>1</v>
      </c>
      <c r="G401" s="5"/>
      <c r="H401" s="10">
        <v>1</v>
      </c>
      <c r="I401" s="10">
        <v>13.4</v>
      </c>
      <c r="J401" s="10">
        <v>17.7</v>
      </c>
      <c r="K401" s="10">
        <v>31.6</v>
      </c>
      <c r="L401" s="10">
        <v>97.2</v>
      </c>
      <c r="M401" s="10">
        <v>1</v>
      </c>
      <c r="O401" s="10">
        <v>1</v>
      </c>
      <c r="P401" s="10">
        <v>11.1</v>
      </c>
      <c r="Q401" s="10">
        <v>17.5</v>
      </c>
      <c r="R401" s="10">
        <v>31.3</v>
      </c>
      <c r="S401" s="10">
        <v>95.4</v>
      </c>
      <c r="T401" s="10">
        <v>1</v>
      </c>
    </row>
    <row r="402" spans="1:20" x14ac:dyDescent="0.25">
      <c r="A402" s="10">
        <v>1</v>
      </c>
      <c r="B402" s="10">
        <v>9.6</v>
      </c>
      <c r="C402" s="10">
        <v>27.9</v>
      </c>
      <c r="D402" s="10">
        <v>29.2</v>
      </c>
      <c r="E402" s="10">
        <v>87.9</v>
      </c>
      <c r="F402" s="10">
        <v>1</v>
      </c>
      <c r="G402" s="5"/>
      <c r="H402" s="10">
        <v>1</v>
      </c>
      <c r="I402" s="10">
        <v>15.9</v>
      </c>
      <c r="J402" s="10">
        <v>22.4</v>
      </c>
      <c r="K402" s="10">
        <v>28.9</v>
      </c>
      <c r="L402" s="10">
        <v>93</v>
      </c>
      <c r="M402" s="10">
        <v>0</v>
      </c>
      <c r="O402" s="10">
        <v>0</v>
      </c>
      <c r="P402" s="10">
        <v>11.3</v>
      </c>
      <c r="Q402" s="10">
        <v>28.9</v>
      </c>
      <c r="R402" s="10">
        <v>30.5</v>
      </c>
      <c r="S402" s="10">
        <v>79.7</v>
      </c>
      <c r="T402" s="10">
        <v>1</v>
      </c>
    </row>
    <row r="403" spans="1:20" x14ac:dyDescent="0.25">
      <c r="A403" s="10">
        <v>0</v>
      </c>
      <c r="B403" s="10">
        <v>8.4</v>
      </c>
      <c r="C403" s="10">
        <v>17.600000000000001</v>
      </c>
      <c r="D403" s="10">
        <v>28.8</v>
      </c>
      <c r="E403" s="10">
        <v>85.2</v>
      </c>
      <c r="F403" s="10">
        <v>1</v>
      </c>
      <c r="G403" s="5"/>
      <c r="H403" s="10">
        <v>1</v>
      </c>
      <c r="I403" s="10">
        <v>12.1</v>
      </c>
      <c r="J403" s="10">
        <v>25.9</v>
      </c>
      <c r="K403" s="10">
        <v>29.3</v>
      </c>
      <c r="L403" s="10">
        <v>82.6</v>
      </c>
      <c r="M403" s="10">
        <v>1</v>
      </c>
      <c r="O403" s="10">
        <v>1</v>
      </c>
      <c r="P403" s="10">
        <v>13.4</v>
      </c>
      <c r="Q403" s="10">
        <v>22.4</v>
      </c>
      <c r="R403" s="10">
        <v>28.3</v>
      </c>
      <c r="S403" s="10">
        <v>83.3</v>
      </c>
      <c r="T403" s="10">
        <v>1</v>
      </c>
    </row>
    <row r="404" spans="1:20" x14ac:dyDescent="0.25">
      <c r="A404" s="10">
        <v>0</v>
      </c>
      <c r="B404" s="10">
        <v>10.8</v>
      </c>
      <c r="C404" s="10">
        <v>24.9</v>
      </c>
      <c r="D404" s="10">
        <v>28.3</v>
      </c>
      <c r="E404" s="10">
        <v>100</v>
      </c>
      <c r="F404" s="10">
        <v>1</v>
      </c>
      <c r="G404" s="5"/>
      <c r="H404" s="10">
        <v>0</v>
      </c>
      <c r="I404" s="10">
        <v>14.5</v>
      </c>
      <c r="J404" s="10">
        <v>24.2</v>
      </c>
      <c r="K404" s="10">
        <v>27.9</v>
      </c>
      <c r="L404" s="10">
        <v>71.7</v>
      </c>
      <c r="M404" s="10">
        <v>0</v>
      </c>
      <c r="O404" s="10">
        <v>1</v>
      </c>
      <c r="P404" s="10">
        <v>10.3</v>
      </c>
      <c r="Q404" s="10">
        <v>26.1</v>
      </c>
      <c r="R404" s="10">
        <v>32.200000000000003</v>
      </c>
      <c r="S404" s="10">
        <v>96.7</v>
      </c>
      <c r="T404" s="10">
        <v>1</v>
      </c>
    </row>
    <row r="405" spans="1:20" x14ac:dyDescent="0.25">
      <c r="A405" s="10">
        <v>1</v>
      </c>
      <c r="B405" s="10">
        <v>12.3</v>
      </c>
      <c r="C405" s="10">
        <v>23.5</v>
      </c>
      <c r="D405" s="10">
        <v>28.1</v>
      </c>
      <c r="E405" s="10">
        <v>76.900000000000006</v>
      </c>
      <c r="F405" s="10">
        <v>1</v>
      </c>
      <c r="G405" s="5"/>
      <c r="H405" s="10">
        <v>0</v>
      </c>
      <c r="I405" s="10">
        <v>13.4</v>
      </c>
      <c r="J405" s="10">
        <v>25.3</v>
      </c>
      <c r="K405" s="10">
        <v>28.6</v>
      </c>
      <c r="L405" s="10">
        <v>83.8</v>
      </c>
      <c r="M405" s="10">
        <v>0</v>
      </c>
      <c r="O405" s="10">
        <v>0</v>
      </c>
      <c r="P405" s="10">
        <v>11.3</v>
      </c>
      <c r="Q405" s="10">
        <v>18.2</v>
      </c>
      <c r="R405" s="10">
        <v>30.7</v>
      </c>
      <c r="S405" s="10">
        <v>98</v>
      </c>
      <c r="T405" s="10">
        <v>1</v>
      </c>
    </row>
    <row r="406" spans="1:20" x14ac:dyDescent="0.25">
      <c r="A406" s="10">
        <v>0</v>
      </c>
      <c r="B406" s="10">
        <v>9.8000000000000007</v>
      </c>
      <c r="C406" s="10">
        <v>29.3</v>
      </c>
      <c r="D406" s="10">
        <v>28.9</v>
      </c>
      <c r="E406" s="10">
        <v>88.3</v>
      </c>
      <c r="F406" s="10">
        <v>1</v>
      </c>
      <c r="G406" s="5"/>
      <c r="H406" s="10">
        <v>1</v>
      </c>
      <c r="I406" s="10">
        <v>16.399999999999999</v>
      </c>
      <c r="J406" s="10">
        <v>27.4</v>
      </c>
      <c r="K406" s="10">
        <v>31.9</v>
      </c>
      <c r="L406" s="10">
        <v>100.2</v>
      </c>
      <c r="M406" s="10">
        <v>0</v>
      </c>
      <c r="O406" s="10">
        <v>0</v>
      </c>
      <c r="P406" s="10">
        <v>10.7</v>
      </c>
      <c r="Q406" s="10">
        <v>18.100000000000001</v>
      </c>
      <c r="R406" s="10">
        <v>31.5</v>
      </c>
      <c r="S406" s="10">
        <v>97.1</v>
      </c>
      <c r="T406" s="10">
        <v>1</v>
      </c>
    </row>
    <row r="407" spans="1:20" x14ac:dyDescent="0.25">
      <c r="A407" s="10">
        <v>1</v>
      </c>
      <c r="B407" s="10">
        <v>13</v>
      </c>
      <c r="C407" s="10">
        <v>28.1</v>
      </c>
      <c r="D407" s="10">
        <v>31.6</v>
      </c>
      <c r="E407" s="10">
        <v>94.6</v>
      </c>
      <c r="F407" s="10">
        <v>1</v>
      </c>
      <c r="G407" s="5"/>
      <c r="H407" s="10">
        <v>1</v>
      </c>
      <c r="I407" s="10">
        <v>14.6</v>
      </c>
      <c r="J407" s="10">
        <v>24.1</v>
      </c>
      <c r="K407" s="10">
        <v>30.7</v>
      </c>
      <c r="L407" s="10">
        <v>98.1</v>
      </c>
      <c r="M407" s="10">
        <v>0</v>
      </c>
      <c r="O407" s="10">
        <v>0</v>
      </c>
      <c r="P407" s="10">
        <v>11.3</v>
      </c>
      <c r="Q407" s="10">
        <v>18.600000000000001</v>
      </c>
      <c r="R407" s="10">
        <v>29.5</v>
      </c>
      <c r="S407" s="10">
        <v>99.6</v>
      </c>
      <c r="T407" s="10">
        <v>1</v>
      </c>
    </row>
    <row r="408" spans="1:20" x14ac:dyDescent="0.25">
      <c r="A408" s="10">
        <v>1</v>
      </c>
      <c r="B408" s="10">
        <v>10.6</v>
      </c>
      <c r="C408" s="10">
        <v>22.7</v>
      </c>
      <c r="D408" s="10">
        <v>29.1</v>
      </c>
      <c r="E408" s="10">
        <v>83.7</v>
      </c>
      <c r="F408" s="10">
        <v>1</v>
      </c>
      <c r="G408" s="5"/>
      <c r="H408" s="10">
        <v>1</v>
      </c>
      <c r="I408" s="10">
        <v>13.8</v>
      </c>
      <c r="J408" s="10">
        <v>21.4</v>
      </c>
      <c r="K408" s="10">
        <v>29.9</v>
      </c>
      <c r="L408" s="10">
        <v>88.4</v>
      </c>
      <c r="M408" s="10">
        <v>0</v>
      </c>
      <c r="O408" s="10">
        <v>1</v>
      </c>
      <c r="P408" s="10">
        <v>11.2</v>
      </c>
      <c r="Q408" s="10">
        <v>27.7</v>
      </c>
      <c r="R408" s="10">
        <v>32</v>
      </c>
      <c r="S408" s="10">
        <v>70.400000000000006</v>
      </c>
      <c r="T408" s="10">
        <v>1</v>
      </c>
    </row>
    <row r="409" spans="1:20" x14ac:dyDescent="0.25">
      <c r="A409" s="10">
        <v>1</v>
      </c>
      <c r="B409" s="10">
        <v>11.7</v>
      </c>
      <c r="C409" s="10">
        <v>25.8</v>
      </c>
      <c r="D409" s="10">
        <v>31.3</v>
      </c>
      <c r="E409" s="10">
        <v>82.9</v>
      </c>
      <c r="F409" s="10">
        <v>1</v>
      </c>
      <c r="G409" s="5"/>
      <c r="H409" s="10">
        <v>1</v>
      </c>
      <c r="I409" s="10">
        <v>12.6</v>
      </c>
      <c r="J409" s="10">
        <v>16.5</v>
      </c>
      <c r="K409" s="10">
        <v>30.4</v>
      </c>
      <c r="L409" s="10">
        <v>77</v>
      </c>
      <c r="M409" s="10">
        <v>1</v>
      </c>
      <c r="O409" s="10">
        <v>1</v>
      </c>
      <c r="P409" s="10">
        <v>12.5</v>
      </c>
      <c r="Q409" s="10">
        <v>25.5</v>
      </c>
      <c r="R409" s="10">
        <v>32</v>
      </c>
      <c r="S409" s="10">
        <v>72.099999999999994</v>
      </c>
      <c r="T409" s="10">
        <v>1</v>
      </c>
    </row>
    <row r="410" spans="1:20" x14ac:dyDescent="0.25">
      <c r="A410" s="10">
        <v>0</v>
      </c>
      <c r="B410" s="10">
        <v>9.1999999999999993</v>
      </c>
      <c r="C410" s="10">
        <v>19.3</v>
      </c>
      <c r="D410" s="10">
        <v>31.4</v>
      </c>
      <c r="E410" s="10">
        <v>78.900000000000006</v>
      </c>
      <c r="F410" s="10">
        <v>1</v>
      </c>
      <c r="G410" s="5"/>
      <c r="H410" s="10">
        <v>0</v>
      </c>
      <c r="I410" s="10">
        <v>11.5</v>
      </c>
      <c r="J410" s="10">
        <v>22</v>
      </c>
      <c r="K410" s="10">
        <v>32.4</v>
      </c>
      <c r="L410" s="10">
        <v>84.2</v>
      </c>
      <c r="M410" s="10">
        <v>1</v>
      </c>
      <c r="O410" s="10">
        <v>1</v>
      </c>
      <c r="P410" s="10">
        <v>13</v>
      </c>
      <c r="Q410" s="10">
        <v>28.5</v>
      </c>
      <c r="R410" s="10">
        <v>30.8</v>
      </c>
      <c r="S410" s="10">
        <v>98.2</v>
      </c>
      <c r="T410" s="10">
        <v>1</v>
      </c>
    </row>
    <row r="411" spans="1:20" x14ac:dyDescent="0.25">
      <c r="A411" s="10">
        <v>1</v>
      </c>
      <c r="B411" s="10">
        <v>12.5</v>
      </c>
      <c r="C411" s="10">
        <v>17.600000000000001</v>
      </c>
      <c r="D411" s="10">
        <v>32.4</v>
      </c>
      <c r="E411" s="10">
        <v>101.5</v>
      </c>
      <c r="F411" s="10">
        <v>1</v>
      </c>
      <c r="G411" s="5"/>
      <c r="H411" s="10">
        <v>1</v>
      </c>
      <c r="I411" s="10">
        <v>12.5</v>
      </c>
      <c r="J411" s="10">
        <v>20.100000000000001</v>
      </c>
      <c r="K411" s="10">
        <v>27.8</v>
      </c>
      <c r="L411" s="10">
        <v>89.2</v>
      </c>
      <c r="M411" s="10">
        <v>1</v>
      </c>
      <c r="O411" s="10">
        <v>1</v>
      </c>
      <c r="P411" s="10">
        <v>12.2</v>
      </c>
      <c r="Q411" s="10">
        <v>24.3</v>
      </c>
      <c r="R411" s="10">
        <v>31.4</v>
      </c>
      <c r="S411" s="10">
        <v>101.5</v>
      </c>
      <c r="T411" s="10">
        <v>1</v>
      </c>
    </row>
    <row r="412" spans="1:20" x14ac:dyDescent="0.25">
      <c r="A412" s="10">
        <v>0</v>
      </c>
      <c r="B412" s="10">
        <v>9.1</v>
      </c>
      <c r="C412" s="10">
        <v>21.3</v>
      </c>
      <c r="D412" s="10">
        <v>29.4</v>
      </c>
      <c r="E412" s="10">
        <v>94.2</v>
      </c>
      <c r="F412" s="10">
        <v>1</v>
      </c>
      <c r="G412" s="5"/>
      <c r="H412" s="10">
        <v>1</v>
      </c>
      <c r="I412" s="10">
        <v>16.600000000000001</v>
      </c>
      <c r="J412" s="10">
        <v>22</v>
      </c>
      <c r="K412" s="10">
        <v>29.5</v>
      </c>
      <c r="L412" s="10">
        <v>71</v>
      </c>
      <c r="M412" s="10">
        <v>0</v>
      </c>
      <c r="O412" s="10">
        <v>0</v>
      </c>
      <c r="P412" s="10">
        <v>10.9</v>
      </c>
      <c r="Q412" s="10">
        <v>26.4</v>
      </c>
      <c r="R412" s="10">
        <v>30.4</v>
      </c>
      <c r="S412" s="10">
        <v>89.7</v>
      </c>
      <c r="T412" s="10">
        <v>1</v>
      </c>
    </row>
    <row r="413" spans="1:20" x14ac:dyDescent="0.25">
      <c r="A413" s="10">
        <v>0</v>
      </c>
      <c r="B413" s="10">
        <v>7.8</v>
      </c>
      <c r="C413" s="10">
        <v>23</v>
      </c>
      <c r="D413" s="10">
        <v>32.200000000000003</v>
      </c>
      <c r="E413" s="10">
        <v>76.099999999999994</v>
      </c>
      <c r="F413" s="10">
        <v>1</v>
      </c>
      <c r="G413" s="5"/>
      <c r="H413" s="10">
        <v>1</v>
      </c>
      <c r="I413" s="10">
        <v>12.7</v>
      </c>
      <c r="J413" s="10">
        <v>21.1</v>
      </c>
      <c r="K413" s="10">
        <v>32.200000000000003</v>
      </c>
      <c r="L413" s="10">
        <v>94.2</v>
      </c>
      <c r="M413" s="10">
        <v>1</v>
      </c>
      <c r="O413" s="10">
        <v>0</v>
      </c>
      <c r="P413" s="10">
        <v>10.6</v>
      </c>
      <c r="Q413" s="10">
        <v>16</v>
      </c>
      <c r="R413" s="10">
        <v>32.200000000000003</v>
      </c>
      <c r="S413" s="10">
        <v>96.8</v>
      </c>
      <c r="T413" s="10">
        <v>1</v>
      </c>
    </row>
    <row r="414" spans="1:20" x14ac:dyDescent="0.25">
      <c r="A414" s="10">
        <v>0</v>
      </c>
      <c r="B414" s="10">
        <v>11.7</v>
      </c>
      <c r="C414" s="10">
        <v>19.3</v>
      </c>
      <c r="D414" s="10">
        <v>30.3</v>
      </c>
      <c r="E414" s="10">
        <v>83.3</v>
      </c>
      <c r="F414" s="10">
        <v>1</v>
      </c>
      <c r="G414" s="5"/>
      <c r="H414" s="10">
        <v>0</v>
      </c>
      <c r="I414" s="10">
        <v>16.8</v>
      </c>
      <c r="J414" s="10">
        <v>27.4</v>
      </c>
      <c r="K414" s="10">
        <v>32.4</v>
      </c>
      <c r="L414" s="10">
        <v>97.7</v>
      </c>
      <c r="M414" s="10">
        <v>0</v>
      </c>
      <c r="O414" s="10">
        <v>0</v>
      </c>
      <c r="P414" s="10">
        <v>11.9</v>
      </c>
      <c r="Q414" s="10">
        <v>23.7</v>
      </c>
      <c r="R414" s="10">
        <v>29.9</v>
      </c>
      <c r="S414" s="10">
        <v>69.900000000000006</v>
      </c>
      <c r="T414" s="10">
        <v>1</v>
      </c>
    </row>
    <row r="415" spans="1:20" x14ac:dyDescent="0.25">
      <c r="A415" s="10">
        <v>0</v>
      </c>
      <c r="B415" s="10">
        <v>10.4</v>
      </c>
      <c r="C415" s="10">
        <v>23.5</v>
      </c>
      <c r="D415" s="10">
        <v>31.3</v>
      </c>
      <c r="E415" s="10">
        <v>85.9</v>
      </c>
      <c r="F415" s="10">
        <v>1</v>
      </c>
      <c r="G415" s="5"/>
      <c r="H415" s="10">
        <v>1</v>
      </c>
      <c r="I415" s="10">
        <v>14.3</v>
      </c>
      <c r="J415" s="10">
        <v>21.4</v>
      </c>
      <c r="K415" s="10">
        <v>31.2</v>
      </c>
      <c r="L415" s="10">
        <v>88.5</v>
      </c>
      <c r="M415" s="10">
        <v>0</v>
      </c>
      <c r="O415" s="10">
        <v>0</v>
      </c>
      <c r="P415" s="10">
        <v>11.1</v>
      </c>
      <c r="Q415" s="10">
        <v>20.399999999999999</v>
      </c>
      <c r="R415" s="10">
        <v>30.9</v>
      </c>
      <c r="S415" s="10">
        <v>101.6</v>
      </c>
      <c r="T415" s="10">
        <v>1</v>
      </c>
    </row>
    <row r="416" spans="1:20" x14ac:dyDescent="0.25">
      <c r="A416" s="10">
        <v>1</v>
      </c>
      <c r="B416" s="10">
        <v>12.7</v>
      </c>
      <c r="C416" s="10">
        <v>26.4</v>
      </c>
      <c r="D416" s="10">
        <v>27.9</v>
      </c>
      <c r="E416" s="10">
        <v>101.5</v>
      </c>
      <c r="F416" s="10">
        <v>1</v>
      </c>
      <c r="G416" s="5"/>
      <c r="H416" s="10">
        <v>0</v>
      </c>
      <c r="I416" s="10">
        <v>10.8</v>
      </c>
      <c r="J416" s="10">
        <v>19</v>
      </c>
      <c r="K416" s="10">
        <v>32.200000000000003</v>
      </c>
      <c r="L416" s="10">
        <v>101.6</v>
      </c>
      <c r="M416" s="10">
        <v>1</v>
      </c>
      <c r="O416" s="10">
        <v>1</v>
      </c>
      <c r="P416" s="10">
        <v>12</v>
      </c>
      <c r="Q416" s="10">
        <v>28.1</v>
      </c>
      <c r="R416" s="10">
        <v>30.9</v>
      </c>
      <c r="S416" s="10">
        <v>77.900000000000006</v>
      </c>
      <c r="T416" s="10">
        <v>1</v>
      </c>
    </row>
    <row r="417" spans="1:20" x14ac:dyDescent="0.25">
      <c r="A417" s="10">
        <v>1</v>
      </c>
      <c r="B417" s="10">
        <v>11.9</v>
      </c>
      <c r="C417" s="10">
        <v>28.8</v>
      </c>
      <c r="D417" s="10">
        <v>28.4</v>
      </c>
      <c r="E417" s="10">
        <v>86.4</v>
      </c>
      <c r="F417" s="10">
        <v>1</v>
      </c>
      <c r="G417" s="5"/>
      <c r="H417" s="10">
        <v>0</v>
      </c>
      <c r="I417" s="10">
        <v>12.6</v>
      </c>
      <c r="J417" s="10">
        <v>16.5</v>
      </c>
      <c r="K417" s="10">
        <v>28.9</v>
      </c>
      <c r="L417" s="10">
        <v>97.5</v>
      </c>
      <c r="M417" s="10">
        <v>0</v>
      </c>
      <c r="O417" s="10">
        <v>1</v>
      </c>
      <c r="P417" s="10">
        <v>13.4</v>
      </c>
      <c r="Q417" s="10">
        <v>17.7</v>
      </c>
      <c r="R417" s="10">
        <v>31.6</v>
      </c>
      <c r="S417" s="10">
        <v>97.2</v>
      </c>
      <c r="T417" s="10">
        <v>1</v>
      </c>
    </row>
    <row r="418" spans="1:20" x14ac:dyDescent="0.25">
      <c r="A418" s="10">
        <v>1</v>
      </c>
      <c r="B418" s="10">
        <v>12.4</v>
      </c>
      <c r="C418" s="10">
        <v>24.8</v>
      </c>
      <c r="D418" s="10">
        <v>29.6</v>
      </c>
      <c r="E418" s="10">
        <v>93.4</v>
      </c>
      <c r="F418" s="10">
        <v>1</v>
      </c>
      <c r="G418" s="5"/>
      <c r="H418" s="10">
        <v>0</v>
      </c>
      <c r="I418" s="10">
        <v>16.8</v>
      </c>
      <c r="J418" s="10">
        <v>27.3</v>
      </c>
      <c r="K418" s="10">
        <v>28.9</v>
      </c>
      <c r="L418" s="10">
        <v>70.8</v>
      </c>
      <c r="M418" s="10">
        <v>0</v>
      </c>
      <c r="O418" s="10">
        <v>1</v>
      </c>
      <c r="P418" s="10">
        <v>12.1</v>
      </c>
      <c r="Q418" s="10">
        <v>25.9</v>
      </c>
      <c r="R418" s="10">
        <v>29.3</v>
      </c>
      <c r="S418" s="10">
        <v>82.6</v>
      </c>
      <c r="T418" s="10">
        <v>1</v>
      </c>
    </row>
    <row r="419" spans="1:20" x14ac:dyDescent="0.25">
      <c r="A419" s="10">
        <v>0</v>
      </c>
      <c r="B419" s="10">
        <v>11.5</v>
      </c>
      <c r="C419" s="10">
        <v>22.9</v>
      </c>
      <c r="D419" s="10">
        <v>28.8</v>
      </c>
      <c r="E419" s="10">
        <v>72</v>
      </c>
      <c r="F419" s="10">
        <v>1</v>
      </c>
      <c r="G419" s="5"/>
      <c r="H419" s="10">
        <v>1</v>
      </c>
      <c r="I419" s="10">
        <v>10.7</v>
      </c>
      <c r="J419" s="10">
        <v>24.7</v>
      </c>
      <c r="K419" s="10">
        <v>29.1</v>
      </c>
      <c r="L419" s="10">
        <v>78.7</v>
      </c>
      <c r="M419" s="10">
        <v>1</v>
      </c>
      <c r="O419" s="10">
        <v>1</v>
      </c>
      <c r="P419" s="10">
        <v>12.6</v>
      </c>
      <c r="Q419" s="10">
        <v>16.5</v>
      </c>
      <c r="R419" s="10">
        <v>30.4</v>
      </c>
      <c r="S419" s="10">
        <v>77</v>
      </c>
      <c r="T419" s="10">
        <v>1</v>
      </c>
    </row>
    <row r="420" spans="1:20" x14ac:dyDescent="0.25">
      <c r="A420" s="10">
        <v>1</v>
      </c>
      <c r="B420" s="10">
        <v>9.6</v>
      </c>
      <c r="C420" s="10">
        <v>23</v>
      </c>
      <c r="D420" s="10">
        <v>30.3</v>
      </c>
      <c r="E420" s="10">
        <v>87.7</v>
      </c>
      <c r="F420" s="10">
        <v>1</v>
      </c>
      <c r="G420" s="5"/>
      <c r="H420" s="10">
        <v>1</v>
      </c>
      <c r="I420" s="10">
        <v>15.9</v>
      </c>
      <c r="J420" s="10">
        <v>18.2</v>
      </c>
      <c r="K420" s="10">
        <v>30.3</v>
      </c>
      <c r="L420" s="10">
        <v>82.7</v>
      </c>
      <c r="M420" s="10">
        <v>0</v>
      </c>
      <c r="O420" s="10">
        <v>0</v>
      </c>
      <c r="P420" s="10">
        <v>11.5</v>
      </c>
      <c r="Q420" s="10">
        <v>22</v>
      </c>
      <c r="R420" s="10">
        <v>32.4</v>
      </c>
      <c r="S420" s="10">
        <v>84.2</v>
      </c>
      <c r="T420" s="10">
        <v>1</v>
      </c>
    </row>
    <row r="421" spans="1:20" x14ac:dyDescent="0.25">
      <c r="A421" s="10">
        <v>1</v>
      </c>
      <c r="B421" s="10">
        <v>10.7</v>
      </c>
      <c r="C421" s="10">
        <v>18.5</v>
      </c>
      <c r="D421" s="10">
        <v>28.4</v>
      </c>
      <c r="E421" s="10">
        <v>91.6</v>
      </c>
      <c r="F421" s="10">
        <v>1</v>
      </c>
      <c r="G421" s="5"/>
      <c r="H421" s="10">
        <v>0</v>
      </c>
      <c r="I421" s="10">
        <v>10.7</v>
      </c>
      <c r="J421" s="10">
        <v>19.399999999999999</v>
      </c>
      <c r="K421" s="10">
        <v>29.2</v>
      </c>
      <c r="L421" s="10">
        <v>93.7</v>
      </c>
      <c r="M421" s="10">
        <v>1</v>
      </c>
      <c r="O421" s="10">
        <v>1</v>
      </c>
      <c r="P421" s="10">
        <v>12.5</v>
      </c>
      <c r="Q421" s="10">
        <v>20.100000000000001</v>
      </c>
      <c r="R421" s="10">
        <v>27.8</v>
      </c>
      <c r="S421" s="10">
        <v>89.2</v>
      </c>
      <c r="T421" s="10">
        <v>1</v>
      </c>
    </row>
    <row r="422" spans="1:20" x14ac:dyDescent="0.25">
      <c r="A422" s="10">
        <v>1</v>
      </c>
      <c r="B422" s="10">
        <v>11.5</v>
      </c>
      <c r="C422" s="10">
        <v>18.5</v>
      </c>
      <c r="D422" s="10">
        <v>31.5</v>
      </c>
      <c r="E422" s="10">
        <v>72.2</v>
      </c>
      <c r="F422" s="10">
        <v>1</v>
      </c>
      <c r="G422" s="5"/>
      <c r="H422" s="10">
        <v>0</v>
      </c>
      <c r="I422" s="10">
        <v>11.4</v>
      </c>
      <c r="J422" s="10">
        <v>16.2</v>
      </c>
      <c r="K422" s="10">
        <v>29.8</v>
      </c>
      <c r="L422" s="10">
        <v>97</v>
      </c>
      <c r="M422" s="10">
        <v>1</v>
      </c>
      <c r="O422" s="10">
        <v>1</v>
      </c>
      <c r="P422" s="10">
        <v>12.7</v>
      </c>
      <c r="Q422" s="10">
        <v>21.1</v>
      </c>
      <c r="R422" s="10">
        <v>32.200000000000003</v>
      </c>
      <c r="S422" s="10">
        <v>94.2</v>
      </c>
      <c r="T422" s="10">
        <v>1</v>
      </c>
    </row>
    <row r="423" spans="1:20" x14ac:dyDescent="0.25">
      <c r="A423" s="10">
        <v>1</v>
      </c>
      <c r="B423" s="10">
        <v>11.9</v>
      </c>
      <c r="C423" s="10">
        <v>22.3</v>
      </c>
      <c r="D423" s="10">
        <v>28.6</v>
      </c>
      <c r="E423" s="10">
        <v>89.5</v>
      </c>
      <c r="F423" s="10">
        <v>1</v>
      </c>
      <c r="G423" s="5"/>
      <c r="H423" s="10">
        <v>1</v>
      </c>
      <c r="I423" s="10">
        <v>16.100000000000001</v>
      </c>
      <c r="J423" s="10">
        <v>26.1</v>
      </c>
      <c r="K423" s="10">
        <v>31.4</v>
      </c>
      <c r="L423" s="10">
        <v>93.7</v>
      </c>
      <c r="M423" s="10">
        <v>0</v>
      </c>
      <c r="O423" s="10">
        <v>0</v>
      </c>
      <c r="P423" s="10">
        <v>10.8</v>
      </c>
      <c r="Q423" s="10">
        <v>19</v>
      </c>
      <c r="R423" s="10">
        <v>32.200000000000003</v>
      </c>
      <c r="S423" s="10">
        <v>101.6</v>
      </c>
      <c r="T423" s="10">
        <v>1</v>
      </c>
    </row>
    <row r="424" spans="1:20" x14ac:dyDescent="0.25">
      <c r="A424" s="10">
        <v>0</v>
      </c>
      <c r="B424" s="10">
        <v>10.5</v>
      </c>
      <c r="C424" s="10">
        <v>17.899999999999999</v>
      </c>
      <c r="D424" s="10">
        <v>29.1</v>
      </c>
      <c r="E424" s="10">
        <v>80.900000000000006</v>
      </c>
      <c r="F424" s="10">
        <v>1</v>
      </c>
      <c r="G424" s="5"/>
      <c r="H424" s="10">
        <v>0</v>
      </c>
      <c r="I424" s="10">
        <v>14.5</v>
      </c>
      <c r="J424" s="10">
        <v>27.4</v>
      </c>
      <c r="K424" s="10">
        <v>28.4</v>
      </c>
      <c r="L424" s="10">
        <v>78.400000000000006</v>
      </c>
      <c r="M424" s="10">
        <v>0</v>
      </c>
      <c r="O424" s="10">
        <v>1</v>
      </c>
      <c r="P424" s="10">
        <v>10.7</v>
      </c>
      <c r="Q424" s="10">
        <v>24.7</v>
      </c>
      <c r="R424" s="10">
        <v>29.1</v>
      </c>
      <c r="S424" s="10">
        <v>78.7</v>
      </c>
      <c r="T424" s="10">
        <v>1</v>
      </c>
    </row>
    <row r="425" spans="1:20" x14ac:dyDescent="0.25">
      <c r="A425" s="10">
        <v>1</v>
      </c>
      <c r="B425" s="10">
        <v>12</v>
      </c>
      <c r="C425" s="10">
        <v>18</v>
      </c>
      <c r="D425" s="10">
        <v>31.2</v>
      </c>
      <c r="E425" s="10">
        <v>80.3</v>
      </c>
      <c r="F425" s="10">
        <v>1</v>
      </c>
      <c r="G425" s="5"/>
      <c r="H425" s="10">
        <v>1</v>
      </c>
      <c r="I425" s="10">
        <v>16.2</v>
      </c>
      <c r="J425" s="10">
        <v>17.899999999999999</v>
      </c>
      <c r="K425" s="10">
        <v>27.8</v>
      </c>
      <c r="L425" s="10">
        <v>74.3</v>
      </c>
      <c r="M425" s="10">
        <v>0</v>
      </c>
      <c r="O425" s="10">
        <v>0</v>
      </c>
      <c r="P425" s="10">
        <v>10.7</v>
      </c>
      <c r="Q425" s="10">
        <v>19.399999999999999</v>
      </c>
      <c r="R425" s="10">
        <v>29.2</v>
      </c>
      <c r="S425" s="10">
        <v>93.7</v>
      </c>
      <c r="T425" s="10">
        <v>1</v>
      </c>
    </row>
    <row r="426" spans="1:20" x14ac:dyDescent="0.25">
      <c r="A426" s="10">
        <v>0</v>
      </c>
      <c r="B426" s="10">
        <v>10</v>
      </c>
      <c r="C426" s="10">
        <v>29.8</v>
      </c>
      <c r="D426" s="10">
        <v>32</v>
      </c>
      <c r="E426" s="10">
        <v>92.1</v>
      </c>
      <c r="F426" s="10">
        <v>1</v>
      </c>
      <c r="G426" s="5"/>
      <c r="H426" s="10">
        <v>0</v>
      </c>
      <c r="I426" s="10">
        <v>16.2</v>
      </c>
      <c r="J426" s="10">
        <v>25.1</v>
      </c>
      <c r="K426" s="10">
        <v>29.9</v>
      </c>
      <c r="L426" s="10">
        <v>81.599999999999994</v>
      </c>
      <c r="M426" s="10">
        <v>0</v>
      </c>
      <c r="O426" s="10">
        <v>0</v>
      </c>
      <c r="P426" s="10">
        <v>11.4</v>
      </c>
      <c r="Q426" s="10">
        <v>16.2</v>
      </c>
      <c r="R426" s="10">
        <v>29.8</v>
      </c>
      <c r="S426" s="10">
        <v>97</v>
      </c>
      <c r="T426" s="10">
        <v>1</v>
      </c>
    </row>
    <row r="427" spans="1:20" x14ac:dyDescent="0.25">
      <c r="A427" s="10">
        <v>0</v>
      </c>
      <c r="B427" s="10">
        <v>11.2</v>
      </c>
      <c r="C427" s="10">
        <v>26</v>
      </c>
      <c r="D427" s="10">
        <v>29.8</v>
      </c>
      <c r="E427" s="10">
        <v>73</v>
      </c>
      <c r="F427" s="10">
        <v>1</v>
      </c>
      <c r="G427" s="5"/>
      <c r="H427" s="10">
        <v>1</v>
      </c>
      <c r="I427" s="10">
        <v>12.2</v>
      </c>
      <c r="J427" s="10">
        <v>23.4</v>
      </c>
      <c r="K427" s="10">
        <v>32</v>
      </c>
      <c r="L427" s="10">
        <v>86</v>
      </c>
      <c r="M427" s="10">
        <v>1</v>
      </c>
      <c r="O427" s="10">
        <v>1</v>
      </c>
      <c r="P427" s="10">
        <v>12.2</v>
      </c>
      <c r="Q427" s="10">
        <v>23.4</v>
      </c>
      <c r="R427" s="10">
        <v>32</v>
      </c>
      <c r="S427" s="10">
        <v>86</v>
      </c>
      <c r="T427" s="10">
        <v>1</v>
      </c>
    </row>
    <row r="428" spans="1:20" x14ac:dyDescent="0.25">
      <c r="A428" s="10">
        <v>1</v>
      </c>
      <c r="B428" s="10">
        <v>13.4</v>
      </c>
      <c r="C428" s="10">
        <v>26.6</v>
      </c>
      <c r="D428" s="10">
        <v>28.3</v>
      </c>
      <c r="E428" s="10">
        <v>88.6</v>
      </c>
      <c r="F428" s="10">
        <v>1</v>
      </c>
      <c r="G428" s="5"/>
      <c r="H428"/>
      <c r="I428"/>
      <c r="J428"/>
      <c r="K428"/>
      <c r="L428"/>
      <c r="M428"/>
    </row>
    <row r="429" spans="1:20" x14ac:dyDescent="0.25">
      <c r="A429" s="10">
        <v>0</v>
      </c>
      <c r="B429" s="10">
        <v>8.6</v>
      </c>
      <c r="C429" s="10">
        <v>29.3</v>
      </c>
      <c r="D429" s="10">
        <v>28.9</v>
      </c>
      <c r="E429" s="10">
        <v>88.3</v>
      </c>
      <c r="F429" s="10">
        <v>1</v>
      </c>
      <c r="G429" s="5"/>
      <c r="H429"/>
      <c r="I429"/>
      <c r="J429"/>
      <c r="K429"/>
      <c r="L429"/>
      <c r="M429"/>
    </row>
    <row r="430" spans="1:20" x14ac:dyDescent="0.25">
      <c r="A430" s="10">
        <v>0</v>
      </c>
      <c r="B430" s="10">
        <v>7.5</v>
      </c>
      <c r="C430" s="10">
        <v>28.8</v>
      </c>
      <c r="D430" s="10">
        <v>30.8</v>
      </c>
      <c r="E430" s="10">
        <v>86.4</v>
      </c>
      <c r="F430" s="10">
        <v>1</v>
      </c>
      <c r="G430" s="5"/>
      <c r="H430"/>
      <c r="I430"/>
      <c r="J430"/>
      <c r="K430"/>
      <c r="L430"/>
      <c r="M430"/>
    </row>
    <row r="431" spans="1:20" x14ac:dyDescent="0.25">
      <c r="A431" s="10">
        <v>1</v>
      </c>
      <c r="B431" s="10">
        <v>12.4</v>
      </c>
      <c r="C431" s="10">
        <v>21.7</v>
      </c>
      <c r="D431" s="10">
        <v>31.9</v>
      </c>
      <c r="E431" s="10">
        <v>90.9</v>
      </c>
      <c r="F431" s="10">
        <v>1</v>
      </c>
      <c r="G431" s="5"/>
      <c r="H431"/>
      <c r="I431"/>
      <c r="J431"/>
      <c r="K431"/>
      <c r="L431"/>
      <c r="M431"/>
    </row>
    <row r="432" spans="1:20" x14ac:dyDescent="0.25">
      <c r="A432" s="10">
        <v>1</v>
      </c>
      <c r="B432" s="10">
        <v>10.8</v>
      </c>
      <c r="C432" s="10">
        <v>26.7</v>
      </c>
      <c r="D432" s="10">
        <v>31.6</v>
      </c>
      <c r="E432" s="10">
        <v>98.3</v>
      </c>
      <c r="F432" s="10">
        <v>1</v>
      </c>
      <c r="G432" s="5"/>
      <c r="H432"/>
      <c r="I432"/>
      <c r="J432"/>
      <c r="K432"/>
      <c r="L432"/>
      <c r="M432"/>
    </row>
    <row r="433" spans="1:13" x14ac:dyDescent="0.25">
      <c r="A433" s="10">
        <v>0</v>
      </c>
      <c r="B433" s="10">
        <v>11.9</v>
      </c>
      <c r="C433" s="10">
        <v>16.7</v>
      </c>
      <c r="D433" s="10">
        <v>31.9</v>
      </c>
      <c r="E433" s="10">
        <v>74.099999999999994</v>
      </c>
      <c r="F433" s="10">
        <v>1</v>
      </c>
      <c r="G433" s="5"/>
      <c r="H433"/>
      <c r="I433"/>
      <c r="J433"/>
      <c r="K433"/>
      <c r="L433"/>
      <c r="M433"/>
    </row>
    <row r="434" spans="1:13" x14ac:dyDescent="0.25">
      <c r="A434" s="10">
        <v>1</v>
      </c>
      <c r="B434" s="10">
        <v>12.5</v>
      </c>
      <c r="C434" s="10">
        <v>22.2</v>
      </c>
      <c r="D434" s="10">
        <v>27.9</v>
      </c>
      <c r="E434" s="10">
        <v>89.4</v>
      </c>
      <c r="F434" s="10">
        <v>1</v>
      </c>
      <c r="G434" s="5"/>
      <c r="H434"/>
      <c r="I434"/>
      <c r="J434"/>
      <c r="K434"/>
      <c r="L434"/>
      <c r="M434"/>
    </row>
    <row r="435" spans="1:13" x14ac:dyDescent="0.25">
      <c r="A435" s="10">
        <v>1</v>
      </c>
      <c r="B435" s="10">
        <v>10.6</v>
      </c>
      <c r="C435" s="10">
        <v>29.5</v>
      </c>
      <c r="D435" s="10">
        <v>30.4</v>
      </c>
      <c r="E435" s="10">
        <v>85</v>
      </c>
      <c r="F435" s="10">
        <v>1</v>
      </c>
      <c r="G435" s="5"/>
      <c r="H435"/>
      <c r="I435"/>
      <c r="J435"/>
      <c r="K435"/>
      <c r="L435"/>
      <c r="M435"/>
    </row>
    <row r="436" spans="1:13" x14ac:dyDescent="0.25">
      <c r="A436" s="10">
        <v>1</v>
      </c>
      <c r="B436" s="10">
        <v>12.9</v>
      </c>
      <c r="C436" s="10">
        <v>25.7</v>
      </c>
      <c r="D436" s="10">
        <v>29.7</v>
      </c>
      <c r="E436" s="10">
        <v>80.599999999999994</v>
      </c>
      <c r="F436" s="10">
        <v>1</v>
      </c>
      <c r="G436" s="5"/>
      <c r="H436"/>
      <c r="I436"/>
      <c r="J436"/>
      <c r="K436"/>
      <c r="L436"/>
      <c r="M436"/>
    </row>
    <row r="437" spans="1:13" x14ac:dyDescent="0.25">
      <c r="A437" s="10">
        <v>1</v>
      </c>
      <c r="B437" s="10">
        <v>12.5</v>
      </c>
      <c r="C437" s="10">
        <v>24.9</v>
      </c>
      <c r="D437" s="10">
        <v>30.5</v>
      </c>
      <c r="E437" s="10">
        <v>77.3</v>
      </c>
      <c r="F437" s="10">
        <v>1</v>
      </c>
      <c r="G437" s="5"/>
      <c r="H437"/>
      <c r="I437"/>
      <c r="J437"/>
      <c r="K437"/>
      <c r="L437"/>
      <c r="M437"/>
    </row>
    <row r="438" spans="1:13" x14ac:dyDescent="0.25">
      <c r="A438" s="10">
        <v>0</v>
      </c>
      <c r="B438" s="10">
        <v>10.5</v>
      </c>
      <c r="C438" s="10">
        <v>28.5</v>
      </c>
      <c r="D438" s="10">
        <v>32.299999999999997</v>
      </c>
      <c r="E438" s="10">
        <v>70</v>
      </c>
      <c r="F438" s="10">
        <v>1</v>
      </c>
      <c r="G438" s="5"/>
      <c r="H438"/>
      <c r="I438"/>
      <c r="J438"/>
      <c r="K438"/>
      <c r="L438"/>
      <c r="M438"/>
    </row>
    <row r="439" spans="1:13" x14ac:dyDescent="0.25">
      <c r="A439" s="10">
        <v>1</v>
      </c>
      <c r="B439" s="10">
        <v>10.7</v>
      </c>
      <c r="C439" s="10">
        <v>22.7</v>
      </c>
      <c r="D439" s="10">
        <v>30.5</v>
      </c>
      <c r="E439" s="10">
        <v>86.6</v>
      </c>
      <c r="F439" s="10">
        <v>1</v>
      </c>
      <c r="G439" s="5"/>
      <c r="H439"/>
      <c r="I439"/>
      <c r="J439"/>
      <c r="K439"/>
      <c r="L439"/>
      <c r="M439"/>
    </row>
    <row r="440" spans="1:13" x14ac:dyDescent="0.25">
      <c r="A440" s="10">
        <v>1</v>
      </c>
      <c r="B440" s="10">
        <v>12.9</v>
      </c>
      <c r="C440" s="10">
        <v>28.7</v>
      </c>
      <c r="D440" s="10">
        <v>31.1</v>
      </c>
      <c r="E440" s="10">
        <v>71.3</v>
      </c>
      <c r="F440" s="10">
        <v>1</v>
      </c>
      <c r="G440" s="5"/>
      <c r="H440"/>
      <c r="I440"/>
      <c r="J440"/>
      <c r="K440"/>
      <c r="L440"/>
      <c r="M440"/>
    </row>
    <row r="441" spans="1:13" x14ac:dyDescent="0.25">
      <c r="A441" s="10">
        <v>1</v>
      </c>
      <c r="B441" s="10">
        <v>12.8</v>
      </c>
      <c r="C441" s="10">
        <v>18.399999999999999</v>
      </c>
      <c r="D441" s="10">
        <v>31</v>
      </c>
      <c r="E441" s="10">
        <v>101.6</v>
      </c>
      <c r="F441" s="10">
        <v>1</v>
      </c>
      <c r="G441" s="5"/>
      <c r="H441"/>
      <c r="I441"/>
      <c r="J441"/>
      <c r="K441"/>
      <c r="L441"/>
      <c r="M441"/>
    </row>
    <row r="442" spans="1:13" x14ac:dyDescent="0.25">
      <c r="A442" s="10">
        <v>1</v>
      </c>
      <c r="B442" s="10">
        <v>13.2</v>
      </c>
      <c r="C442" s="10">
        <v>16.2</v>
      </c>
      <c r="D442" s="10">
        <v>30.6</v>
      </c>
      <c r="E442" s="10">
        <v>70.400000000000006</v>
      </c>
      <c r="F442" s="10">
        <v>1</v>
      </c>
      <c r="G442" s="5"/>
      <c r="H442"/>
      <c r="I442"/>
      <c r="J442"/>
      <c r="K442"/>
      <c r="L442"/>
      <c r="M442"/>
    </row>
    <row r="443" spans="1:13" x14ac:dyDescent="0.25">
      <c r="A443" s="10">
        <v>0</v>
      </c>
      <c r="B443" s="10">
        <v>11.7</v>
      </c>
      <c r="C443" s="10">
        <v>29.8</v>
      </c>
      <c r="D443" s="10">
        <v>31.8</v>
      </c>
      <c r="E443" s="10">
        <v>101.3</v>
      </c>
      <c r="F443" s="10">
        <v>1</v>
      </c>
      <c r="G443" s="5"/>
      <c r="H443"/>
      <c r="I443"/>
      <c r="J443"/>
      <c r="K443"/>
      <c r="L443"/>
      <c r="M443"/>
    </row>
    <row r="444" spans="1:13" x14ac:dyDescent="0.25">
      <c r="A444" s="10">
        <v>1</v>
      </c>
      <c r="B444" s="10">
        <v>12</v>
      </c>
      <c r="C444" s="10">
        <v>29.1</v>
      </c>
      <c r="D444" s="10">
        <v>28.8</v>
      </c>
      <c r="E444" s="10">
        <v>82.7</v>
      </c>
      <c r="F444" s="10">
        <v>1</v>
      </c>
      <c r="G444" s="5"/>
      <c r="H444"/>
      <c r="I444"/>
      <c r="J444"/>
      <c r="K444"/>
      <c r="L444"/>
      <c r="M444"/>
    </row>
    <row r="445" spans="1:13" x14ac:dyDescent="0.25">
      <c r="A445" s="10">
        <v>1</v>
      </c>
      <c r="B445" s="10">
        <v>12.5</v>
      </c>
      <c r="C445" s="10">
        <v>21.7</v>
      </c>
      <c r="D445" s="10">
        <v>29.7</v>
      </c>
      <c r="E445" s="10">
        <v>88.6</v>
      </c>
      <c r="F445" s="10">
        <v>1</v>
      </c>
      <c r="G445" s="5"/>
      <c r="H445"/>
      <c r="I445"/>
      <c r="J445"/>
      <c r="K445"/>
      <c r="L445"/>
      <c r="M445"/>
    </row>
    <row r="446" spans="1:13" x14ac:dyDescent="0.25">
      <c r="A446" s="10">
        <v>1</v>
      </c>
      <c r="B446" s="10">
        <v>11.4</v>
      </c>
      <c r="C446" s="10">
        <v>29</v>
      </c>
      <c r="D446" s="10">
        <v>32.1</v>
      </c>
      <c r="E446" s="10">
        <v>96.4</v>
      </c>
      <c r="F446" s="10">
        <v>1</v>
      </c>
      <c r="G446" s="5"/>
      <c r="H446"/>
      <c r="I446"/>
      <c r="J446"/>
      <c r="K446"/>
      <c r="L446"/>
      <c r="M446"/>
    </row>
    <row r="447" spans="1:13" x14ac:dyDescent="0.25">
      <c r="A447" s="10">
        <v>1</v>
      </c>
      <c r="B447" s="10">
        <v>11.1</v>
      </c>
      <c r="C447" s="10">
        <v>25</v>
      </c>
      <c r="D447" s="10">
        <v>31.7</v>
      </c>
      <c r="E447" s="10">
        <v>79.5</v>
      </c>
      <c r="F447" s="10">
        <v>1</v>
      </c>
      <c r="G447" s="5"/>
      <c r="H447"/>
      <c r="I447"/>
      <c r="J447"/>
      <c r="K447"/>
      <c r="L447"/>
      <c r="M447"/>
    </row>
    <row r="448" spans="1:13" x14ac:dyDescent="0.25">
      <c r="A448" s="10">
        <v>1</v>
      </c>
      <c r="B448" s="10">
        <v>13.2</v>
      </c>
      <c r="C448" s="10">
        <v>27.4</v>
      </c>
      <c r="D448" s="10">
        <v>30.6</v>
      </c>
      <c r="E448" s="10">
        <v>101</v>
      </c>
      <c r="F448" s="10">
        <v>1</v>
      </c>
      <c r="G448" s="5"/>
      <c r="H448"/>
      <c r="I448"/>
      <c r="J448"/>
      <c r="K448"/>
      <c r="L448"/>
      <c r="M448"/>
    </row>
    <row r="449" spans="1:13" x14ac:dyDescent="0.25">
      <c r="A449" s="10">
        <v>1</v>
      </c>
      <c r="B449" s="10">
        <v>10.4</v>
      </c>
      <c r="C449" s="10">
        <v>29</v>
      </c>
      <c r="D449" s="10">
        <v>30</v>
      </c>
      <c r="E449" s="10">
        <v>92.3</v>
      </c>
      <c r="F449" s="10">
        <v>1</v>
      </c>
      <c r="G449" s="5"/>
      <c r="H449"/>
      <c r="I449"/>
      <c r="J449"/>
      <c r="K449"/>
      <c r="L449"/>
      <c r="M449"/>
    </row>
    <row r="450" spans="1:13" x14ac:dyDescent="0.25">
      <c r="A450" s="10">
        <v>1</v>
      </c>
      <c r="B450" s="10">
        <v>10.3</v>
      </c>
      <c r="C450" s="10">
        <v>22.5</v>
      </c>
      <c r="D450" s="10">
        <v>32.1</v>
      </c>
      <c r="E450" s="10">
        <v>75</v>
      </c>
      <c r="F450" s="10">
        <v>1</v>
      </c>
      <c r="G450" s="5"/>
      <c r="H450"/>
      <c r="I450"/>
      <c r="J450"/>
      <c r="K450"/>
      <c r="L450"/>
      <c r="M450"/>
    </row>
    <row r="451" spans="1:13" x14ac:dyDescent="0.25">
      <c r="A451" s="10">
        <v>1</v>
      </c>
      <c r="B451" s="10">
        <v>12.7</v>
      </c>
      <c r="C451" s="10">
        <v>27.8</v>
      </c>
      <c r="D451" s="10">
        <v>28.4</v>
      </c>
      <c r="E451" s="10">
        <v>72.3</v>
      </c>
      <c r="F451" s="10">
        <v>1</v>
      </c>
      <c r="G451" s="5"/>
      <c r="H451"/>
      <c r="I451"/>
      <c r="J451"/>
      <c r="K451"/>
      <c r="L451"/>
      <c r="M451"/>
    </row>
    <row r="452" spans="1:13" x14ac:dyDescent="0.25">
      <c r="A452" s="10">
        <v>1</v>
      </c>
      <c r="B452" s="10">
        <v>12.6</v>
      </c>
      <c r="C452" s="10">
        <v>16.100000000000001</v>
      </c>
      <c r="D452" s="10">
        <v>31.1</v>
      </c>
      <c r="E452" s="10">
        <v>94.2</v>
      </c>
      <c r="F452" s="10">
        <v>1</v>
      </c>
      <c r="G452" s="5"/>
      <c r="H452"/>
      <c r="I452"/>
      <c r="J452"/>
      <c r="K452"/>
      <c r="L452"/>
      <c r="M452"/>
    </row>
    <row r="453" spans="1:13" x14ac:dyDescent="0.25">
      <c r="A453" s="10">
        <v>1</v>
      </c>
      <c r="B453" s="10">
        <v>13.4</v>
      </c>
      <c r="C453" s="10">
        <v>28.6</v>
      </c>
      <c r="D453" s="10">
        <v>32</v>
      </c>
      <c r="E453" s="10">
        <v>94</v>
      </c>
      <c r="F453" s="10">
        <v>1</v>
      </c>
      <c r="G453" s="5"/>
      <c r="H453"/>
      <c r="I453"/>
      <c r="J453"/>
      <c r="K453"/>
      <c r="L453"/>
      <c r="M453"/>
    </row>
    <row r="454" spans="1:13" x14ac:dyDescent="0.25">
      <c r="A454" s="10">
        <v>1</v>
      </c>
      <c r="B454" s="10">
        <v>11.5</v>
      </c>
      <c r="C454" s="10">
        <v>25.7</v>
      </c>
      <c r="D454" s="10">
        <v>30.4</v>
      </c>
      <c r="E454" s="10">
        <v>70.2</v>
      </c>
      <c r="F454" s="10">
        <v>1</v>
      </c>
      <c r="G454" s="5"/>
      <c r="H454"/>
      <c r="I454"/>
      <c r="J454"/>
      <c r="K454"/>
      <c r="L454"/>
      <c r="M454"/>
    </row>
    <row r="455" spans="1:13" x14ac:dyDescent="0.25">
      <c r="A455" s="10">
        <v>0</v>
      </c>
      <c r="B455" s="10">
        <v>11.5</v>
      </c>
      <c r="C455" s="10">
        <v>22.7</v>
      </c>
      <c r="D455" s="10">
        <v>30.6</v>
      </c>
      <c r="E455" s="10">
        <v>87.3</v>
      </c>
      <c r="F455" s="10">
        <v>1</v>
      </c>
      <c r="G455" s="5"/>
      <c r="H455"/>
      <c r="I455"/>
      <c r="J455"/>
      <c r="K455"/>
      <c r="L455"/>
      <c r="M455"/>
    </row>
    <row r="456" spans="1:13" x14ac:dyDescent="0.25">
      <c r="A456" s="10">
        <v>0</v>
      </c>
      <c r="B456" s="10">
        <v>10.7</v>
      </c>
      <c r="C456" s="10">
        <v>26.8</v>
      </c>
      <c r="D456" s="10">
        <v>32.200000000000003</v>
      </c>
      <c r="E456" s="10">
        <v>86.6</v>
      </c>
      <c r="F456" s="10">
        <v>1</v>
      </c>
      <c r="G456" s="5"/>
      <c r="H456"/>
      <c r="I456"/>
      <c r="J456"/>
      <c r="K456"/>
      <c r="L456"/>
      <c r="M456"/>
    </row>
    <row r="457" spans="1:13" x14ac:dyDescent="0.25">
      <c r="A457" s="10">
        <v>1</v>
      </c>
      <c r="B457" s="10">
        <v>11.1</v>
      </c>
      <c r="C457" s="10">
        <v>17.5</v>
      </c>
      <c r="D457" s="10">
        <v>31.3</v>
      </c>
      <c r="E457" s="10">
        <v>95.4</v>
      </c>
      <c r="F457" s="10">
        <v>1</v>
      </c>
      <c r="G457" s="5"/>
      <c r="H457"/>
      <c r="I457"/>
      <c r="J457"/>
      <c r="K457"/>
      <c r="L457"/>
      <c r="M457"/>
    </row>
    <row r="458" spans="1:13" x14ac:dyDescent="0.25">
      <c r="A458" s="10">
        <v>0</v>
      </c>
      <c r="B458" s="10">
        <v>11.3</v>
      </c>
      <c r="C458" s="10">
        <v>28.9</v>
      </c>
      <c r="D458" s="10">
        <v>30.5</v>
      </c>
      <c r="E458" s="10">
        <v>79.7</v>
      </c>
      <c r="F458" s="10">
        <v>1</v>
      </c>
      <c r="G458" s="5"/>
      <c r="H458"/>
      <c r="I458"/>
      <c r="J458"/>
      <c r="K458"/>
      <c r="L458"/>
      <c r="M458"/>
    </row>
    <row r="459" spans="1:13" x14ac:dyDescent="0.25">
      <c r="A459" s="10">
        <v>1</v>
      </c>
      <c r="B459" s="10">
        <v>13.4</v>
      </c>
      <c r="C459" s="10">
        <v>22.4</v>
      </c>
      <c r="D459" s="10">
        <v>28.3</v>
      </c>
      <c r="E459" s="10">
        <v>83.3</v>
      </c>
      <c r="F459" s="10">
        <v>1</v>
      </c>
      <c r="G459" s="5"/>
      <c r="H459"/>
      <c r="I459"/>
      <c r="J459"/>
      <c r="K459"/>
      <c r="L459"/>
      <c r="M459"/>
    </row>
    <row r="460" spans="1:13" x14ac:dyDescent="0.25">
      <c r="A460" s="10">
        <v>1</v>
      </c>
      <c r="B460" s="10">
        <v>10.3</v>
      </c>
      <c r="C460" s="10">
        <v>26.1</v>
      </c>
      <c r="D460" s="10">
        <v>32.200000000000003</v>
      </c>
      <c r="E460" s="10">
        <v>96.7</v>
      </c>
      <c r="F460" s="10">
        <v>1</v>
      </c>
      <c r="G460" s="5"/>
      <c r="H460"/>
      <c r="I460"/>
      <c r="J460"/>
      <c r="K460"/>
      <c r="L460"/>
      <c r="M460"/>
    </row>
    <row r="461" spans="1:13" x14ac:dyDescent="0.25">
      <c r="A461" s="10">
        <v>0</v>
      </c>
      <c r="B461" s="10">
        <v>11.3</v>
      </c>
      <c r="C461" s="10">
        <v>18.2</v>
      </c>
      <c r="D461" s="10">
        <v>30.7</v>
      </c>
      <c r="E461" s="10">
        <v>98</v>
      </c>
      <c r="F461" s="10">
        <v>1</v>
      </c>
      <c r="G461" s="5"/>
      <c r="H461"/>
      <c r="I461"/>
      <c r="J461"/>
      <c r="K461"/>
      <c r="L461"/>
      <c r="M461"/>
    </row>
    <row r="462" spans="1:13" x14ac:dyDescent="0.25">
      <c r="A462" s="10">
        <v>0</v>
      </c>
      <c r="B462" s="10">
        <v>10.7</v>
      </c>
      <c r="C462" s="10">
        <v>18.100000000000001</v>
      </c>
      <c r="D462" s="10">
        <v>31.5</v>
      </c>
      <c r="E462" s="10">
        <v>97.1</v>
      </c>
      <c r="F462" s="10">
        <v>1</v>
      </c>
      <c r="G462" s="5"/>
      <c r="H462"/>
      <c r="I462"/>
      <c r="J462"/>
      <c r="K462"/>
      <c r="L462"/>
      <c r="M462"/>
    </row>
    <row r="463" spans="1:13" x14ac:dyDescent="0.25">
      <c r="A463" s="10">
        <v>0</v>
      </c>
      <c r="B463" s="10">
        <v>11.3</v>
      </c>
      <c r="C463" s="10">
        <v>18.600000000000001</v>
      </c>
      <c r="D463" s="10">
        <v>29.5</v>
      </c>
      <c r="E463" s="10">
        <v>99.6</v>
      </c>
      <c r="F463" s="10">
        <v>1</v>
      </c>
      <c r="G463" s="5"/>
      <c r="H463"/>
      <c r="I463"/>
      <c r="J463"/>
      <c r="K463"/>
      <c r="L463"/>
      <c r="M463"/>
    </row>
    <row r="464" spans="1:13" x14ac:dyDescent="0.25">
      <c r="A464" s="10">
        <v>1</v>
      </c>
      <c r="B464" s="10">
        <v>11.2</v>
      </c>
      <c r="C464" s="10">
        <v>27.7</v>
      </c>
      <c r="D464" s="10">
        <v>32</v>
      </c>
      <c r="E464" s="10">
        <v>70.400000000000006</v>
      </c>
      <c r="F464" s="10">
        <v>1</v>
      </c>
      <c r="G464" s="5"/>
      <c r="H464"/>
      <c r="I464"/>
      <c r="J464"/>
      <c r="K464"/>
      <c r="L464"/>
      <c r="M464"/>
    </row>
    <row r="465" spans="1:13" x14ac:dyDescent="0.25">
      <c r="A465" s="10">
        <v>1</v>
      </c>
      <c r="B465" s="10">
        <v>12.5</v>
      </c>
      <c r="C465" s="10">
        <v>25.5</v>
      </c>
      <c r="D465" s="10">
        <v>32</v>
      </c>
      <c r="E465" s="10">
        <v>72.099999999999994</v>
      </c>
      <c r="F465" s="10">
        <v>1</v>
      </c>
      <c r="G465" s="5"/>
      <c r="H465"/>
      <c r="I465"/>
      <c r="J465"/>
      <c r="K465"/>
      <c r="L465"/>
      <c r="M465"/>
    </row>
    <row r="466" spans="1:13" x14ac:dyDescent="0.25">
      <c r="A466" s="10">
        <v>1</v>
      </c>
      <c r="B466" s="10">
        <v>13</v>
      </c>
      <c r="C466" s="10">
        <v>28.5</v>
      </c>
      <c r="D466" s="10">
        <v>30.8</v>
      </c>
      <c r="E466" s="10">
        <v>98.2</v>
      </c>
      <c r="F466" s="10">
        <v>1</v>
      </c>
      <c r="G466" s="5"/>
      <c r="H466"/>
      <c r="I466"/>
      <c r="J466"/>
      <c r="K466"/>
      <c r="L466"/>
      <c r="M466"/>
    </row>
    <row r="467" spans="1:13" x14ac:dyDescent="0.25">
      <c r="A467" s="10">
        <v>1</v>
      </c>
      <c r="B467" s="10">
        <v>12.2</v>
      </c>
      <c r="C467" s="10">
        <v>24.3</v>
      </c>
      <c r="D467" s="10">
        <v>31.4</v>
      </c>
      <c r="E467" s="10">
        <v>101.5</v>
      </c>
      <c r="F467" s="10">
        <v>1</v>
      </c>
      <c r="G467" s="5"/>
      <c r="H467"/>
      <c r="I467"/>
      <c r="J467"/>
      <c r="K467"/>
      <c r="L467"/>
      <c r="M467"/>
    </row>
    <row r="468" spans="1:13" x14ac:dyDescent="0.25">
      <c r="A468" s="10">
        <v>0</v>
      </c>
      <c r="B468" s="10">
        <v>10.9</v>
      </c>
      <c r="C468" s="10">
        <v>26.4</v>
      </c>
      <c r="D468" s="10">
        <v>30.4</v>
      </c>
      <c r="E468" s="10">
        <v>89.7</v>
      </c>
      <c r="F468" s="10">
        <v>1</v>
      </c>
      <c r="G468" s="5"/>
      <c r="H468"/>
      <c r="I468"/>
      <c r="J468"/>
      <c r="K468"/>
      <c r="L468"/>
      <c r="M468"/>
    </row>
    <row r="469" spans="1:13" x14ac:dyDescent="0.25">
      <c r="A469" s="10">
        <v>0</v>
      </c>
      <c r="B469" s="10">
        <v>10.6</v>
      </c>
      <c r="C469" s="10">
        <v>16</v>
      </c>
      <c r="D469" s="10">
        <v>32.200000000000003</v>
      </c>
      <c r="E469" s="10">
        <v>96.8</v>
      </c>
      <c r="F469" s="10">
        <v>1</v>
      </c>
      <c r="G469" s="5"/>
      <c r="H469"/>
      <c r="I469"/>
      <c r="J469"/>
      <c r="K469"/>
      <c r="L469"/>
      <c r="M469"/>
    </row>
    <row r="470" spans="1:13" x14ac:dyDescent="0.25">
      <c r="A470" s="10">
        <v>0</v>
      </c>
      <c r="B470" s="10">
        <v>11.9</v>
      </c>
      <c r="C470" s="10">
        <v>23.7</v>
      </c>
      <c r="D470" s="10">
        <v>29.9</v>
      </c>
      <c r="E470" s="10">
        <v>69.900000000000006</v>
      </c>
      <c r="F470" s="10">
        <v>1</v>
      </c>
      <c r="G470" s="5"/>
      <c r="H470"/>
      <c r="I470"/>
      <c r="J470"/>
      <c r="K470"/>
      <c r="L470"/>
      <c r="M470"/>
    </row>
    <row r="471" spans="1:13" x14ac:dyDescent="0.25">
      <c r="A471" s="10">
        <v>0</v>
      </c>
      <c r="B471" s="10">
        <v>11.1</v>
      </c>
      <c r="C471" s="10">
        <v>20.399999999999999</v>
      </c>
      <c r="D471" s="10">
        <v>30.9</v>
      </c>
      <c r="E471" s="10">
        <v>101.6</v>
      </c>
      <c r="F471" s="10">
        <v>1</v>
      </c>
      <c r="G471" s="5"/>
      <c r="H471"/>
      <c r="I471"/>
      <c r="J471"/>
      <c r="K471"/>
      <c r="L471"/>
      <c r="M471"/>
    </row>
    <row r="472" spans="1:13" x14ac:dyDescent="0.25">
      <c r="A472" s="10">
        <v>1</v>
      </c>
      <c r="B472" s="10">
        <v>12</v>
      </c>
      <c r="C472" s="10">
        <v>28.1</v>
      </c>
      <c r="D472" s="10">
        <v>30.9</v>
      </c>
      <c r="E472" s="10">
        <v>77.900000000000006</v>
      </c>
      <c r="F472" s="10">
        <v>1</v>
      </c>
      <c r="G472" s="5"/>
      <c r="H472"/>
      <c r="I472"/>
      <c r="J472"/>
      <c r="K472"/>
      <c r="L472"/>
      <c r="M472"/>
    </row>
    <row r="473" spans="1:13" x14ac:dyDescent="0.25">
      <c r="A473" s="10">
        <v>1</v>
      </c>
      <c r="B473" s="10">
        <v>13.4</v>
      </c>
      <c r="C473" s="10">
        <v>17.7</v>
      </c>
      <c r="D473" s="10">
        <v>31.6</v>
      </c>
      <c r="E473" s="10">
        <v>97.2</v>
      </c>
      <c r="F473" s="10">
        <v>1</v>
      </c>
      <c r="G473" s="5"/>
      <c r="H473"/>
      <c r="I473"/>
      <c r="J473"/>
      <c r="K473"/>
      <c r="L473"/>
      <c r="M473"/>
    </row>
    <row r="474" spans="1:13" x14ac:dyDescent="0.25">
      <c r="A474" s="10">
        <v>1</v>
      </c>
      <c r="B474" s="10">
        <v>12.1</v>
      </c>
      <c r="C474" s="10">
        <v>25.9</v>
      </c>
      <c r="D474" s="10">
        <v>29.3</v>
      </c>
      <c r="E474" s="10">
        <v>82.6</v>
      </c>
      <c r="F474" s="10">
        <v>1</v>
      </c>
      <c r="G474" s="5"/>
      <c r="H474"/>
      <c r="I474"/>
      <c r="J474"/>
      <c r="K474"/>
      <c r="L474"/>
      <c r="M474"/>
    </row>
    <row r="475" spans="1:13" x14ac:dyDescent="0.25">
      <c r="A475" s="10">
        <v>1</v>
      </c>
      <c r="B475" s="10">
        <v>12.6</v>
      </c>
      <c r="C475" s="10">
        <v>16.5</v>
      </c>
      <c r="D475" s="10">
        <v>30.4</v>
      </c>
      <c r="E475" s="10">
        <v>77</v>
      </c>
      <c r="F475" s="10">
        <v>1</v>
      </c>
      <c r="G475" s="5"/>
      <c r="H475"/>
      <c r="I475"/>
      <c r="J475"/>
      <c r="K475"/>
      <c r="L475"/>
      <c r="M475"/>
    </row>
    <row r="476" spans="1:13" x14ac:dyDescent="0.25">
      <c r="A476" s="10">
        <v>0</v>
      </c>
      <c r="B476" s="10">
        <v>11.5</v>
      </c>
      <c r="C476" s="10">
        <v>22</v>
      </c>
      <c r="D476" s="10">
        <v>32.4</v>
      </c>
      <c r="E476" s="10">
        <v>84.2</v>
      </c>
      <c r="F476" s="10">
        <v>1</v>
      </c>
      <c r="G476" s="5"/>
      <c r="H476"/>
      <c r="I476"/>
      <c r="J476"/>
      <c r="K476"/>
      <c r="L476"/>
      <c r="M476"/>
    </row>
    <row r="477" spans="1:13" x14ac:dyDescent="0.25">
      <c r="A477" s="10">
        <v>1</v>
      </c>
      <c r="B477" s="10">
        <v>12.5</v>
      </c>
      <c r="C477" s="10">
        <v>20.100000000000001</v>
      </c>
      <c r="D477" s="10">
        <v>27.8</v>
      </c>
      <c r="E477" s="10">
        <v>89.2</v>
      </c>
      <c r="F477" s="10">
        <v>1</v>
      </c>
      <c r="G477" s="5"/>
      <c r="H477"/>
      <c r="I477"/>
      <c r="J477"/>
      <c r="K477"/>
      <c r="L477"/>
      <c r="M477"/>
    </row>
    <row r="478" spans="1:13" x14ac:dyDescent="0.25">
      <c r="A478" s="10">
        <v>1</v>
      </c>
      <c r="B478" s="10">
        <v>12.7</v>
      </c>
      <c r="C478" s="10">
        <v>21.1</v>
      </c>
      <c r="D478" s="10">
        <v>32.200000000000003</v>
      </c>
      <c r="E478" s="10">
        <v>94.2</v>
      </c>
      <c r="F478" s="10">
        <v>1</v>
      </c>
      <c r="G478" s="5"/>
      <c r="H478"/>
      <c r="I478"/>
      <c r="J478"/>
      <c r="K478"/>
      <c r="L478"/>
      <c r="M478"/>
    </row>
    <row r="479" spans="1:13" x14ac:dyDescent="0.25">
      <c r="A479" s="10">
        <v>0</v>
      </c>
      <c r="B479" s="10">
        <v>10.8</v>
      </c>
      <c r="C479" s="10">
        <v>19</v>
      </c>
      <c r="D479" s="10">
        <v>32.200000000000003</v>
      </c>
      <c r="E479" s="10">
        <v>101.6</v>
      </c>
      <c r="F479" s="10">
        <v>1</v>
      </c>
      <c r="G479" s="5"/>
      <c r="H479"/>
      <c r="I479"/>
      <c r="J479"/>
      <c r="K479"/>
      <c r="L479"/>
      <c r="M479"/>
    </row>
    <row r="480" spans="1:13" x14ac:dyDescent="0.25">
      <c r="A480" s="10">
        <v>1</v>
      </c>
      <c r="B480" s="10">
        <v>10.7</v>
      </c>
      <c r="C480" s="10">
        <v>24.7</v>
      </c>
      <c r="D480" s="10">
        <v>29.1</v>
      </c>
      <c r="E480" s="10">
        <v>78.7</v>
      </c>
      <c r="F480" s="10">
        <v>1</v>
      </c>
      <c r="G480" s="5"/>
      <c r="H480"/>
      <c r="I480"/>
      <c r="J480"/>
      <c r="K480"/>
      <c r="L480"/>
      <c r="M480"/>
    </row>
    <row r="481" spans="1:13" x14ac:dyDescent="0.25">
      <c r="A481" s="10">
        <v>0</v>
      </c>
      <c r="B481" s="10">
        <v>10.7</v>
      </c>
      <c r="C481" s="10">
        <v>19.399999999999999</v>
      </c>
      <c r="D481" s="10">
        <v>29.2</v>
      </c>
      <c r="E481" s="10">
        <v>93.7</v>
      </c>
      <c r="F481" s="10">
        <v>1</v>
      </c>
      <c r="G481" s="5"/>
      <c r="H481"/>
      <c r="I481"/>
      <c r="J481"/>
      <c r="K481"/>
      <c r="L481"/>
      <c r="M481"/>
    </row>
    <row r="482" spans="1:13" x14ac:dyDescent="0.25">
      <c r="A482" s="10">
        <v>0</v>
      </c>
      <c r="B482" s="10">
        <v>11.4</v>
      </c>
      <c r="C482" s="10">
        <v>16.2</v>
      </c>
      <c r="D482" s="10">
        <v>29.8</v>
      </c>
      <c r="E482" s="10">
        <v>97</v>
      </c>
      <c r="F482" s="10">
        <v>1</v>
      </c>
      <c r="G482" s="5"/>
      <c r="H482"/>
      <c r="I482"/>
      <c r="J482"/>
      <c r="K482"/>
      <c r="L482"/>
      <c r="M482"/>
    </row>
    <row r="483" spans="1:13" x14ac:dyDescent="0.25">
      <c r="A483" s="10">
        <v>1</v>
      </c>
      <c r="B483" s="10">
        <v>12.2</v>
      </c>
      <c r="C483" s="10">
        <v>23.4</v>
      </c>
      <c r="D483" s="10">
        <v>32</v>
      </c>
      <c r="E483" s="10">
        <v>86</v>
      </c>
      <c r="F483" s="10">
        <v>1</v>
      </c>
      <c r="G483" s="5"/>
      <c r="H483"/>
      <c r="I483"/>
      <c r="J483"/>
      <c r="K483"/>
      <c r="L483"/>
      <c r="M483"/>
    </row>
    <row r="484" spans="1:13" x14ac:dyDescent="0.25">
      <c r="A484" s="10">
        <v>1</v>
      </c>
      <c r="B484" s="10">
        <v>11.6</v>
      </c>
      <c r="C484" s="10">
        <v>18</v>
      </c>
      <c r="D484" s="10">
        <v>32.200000000000003</v>
      </c>
      <c r="E484" s="10">
        <v>98.9</v>
      </c>
      <c r="F484" s="10">
        <v>1</v>
      </c>
      <c r="G484" s="5"/>
      <c r="H484"/>
      <c r="I484"/>
      <c r="J484"/>
      <c r="K484"/>
      <c r="L484"/>
      <c r="M484"/>
    </row>
    <row r="485" spans="1:13" x14ac:dyDescent="0.25">
      <c r="A485" s="10">
        <v>1</v>
      </c>
      <c r="B485" s="10">
        <v>11.2</v>
      </c>
      <c r="C485" s="10">
        <v>27.8</v>
      </c>
      <c r="D485" s="10">
        <v>32.200000000000003</v>
      </c>
      <c r="E485" s="10">
        <v>95.8</v>
      </c>
      <c r="F485" s="10">
        <v>1</v>
      </c>
      <c r="G485" s="5"/>
      <c r="H485"/>
      <c r="I485"/>
      <c r="J485"/>
      <c r="K485"/>
      <c r="L485"/>
      <c r="M485"/>
    </row>
    <row r="486" spans="1:13" x14ac:dyDescent="0.25">
      <c r="A486" s="10">
        <v>0</v>
      </c>
      <c r="B486" s="10">
        <v>11.7</v>
      </c>
      <c r="C486" s="10">
        <v>16.8</v>
      </c>
      <c r="D486" s="10">
        <v>32.200000000000003</v>
      </c>
      <c r="E486" s="10">
        <v>73.599999999999994</v>
      </c>
      <c r="F486" s="10">
        <v>1</v>
      </c>
      <c r="G486" s="5"/>
      <c r="H486"/>
      <c r="I486"/>
      <c r="J486"/>
      <c r="K486"/>
      <c r="L486"/>
      <c r="M486"/>
    </row>
    <row r="487" spans="1:13" x14ac:dyDescent="0.25">
      <c r="A487" s="10">
        <v>0</v>
      </c>
      <c r="B487" s="10">
        <v>11.1</v>
      </c>
      <c r="C487" s="10">
        <v>24.7</v>
      </c>
      <c r="D487" s="10">
        <v>32.1</v>
      </c>
      <c r="E487" s="10">
        <v>96.7</v>
      </c>
      <c r="F487" s="10">
        <v>1</v>
      </c>
      <c r="G487" s="5"/>
      <c r="H487"/>
      <c r="I487"/>
      <c r="J487"/>
      <c r="K487"/>
      <c r="L487"/>
      <c r="M487"/>
    </row>
    <row r="488" spans="1:13" x14ac:dyDescent="0.25">
      <c r="A488" s="10">
        <v>1</v>
      </c>
      <c r="B488" s="10">
        <v>10.8</v>
      </c>
      <c r="C488" s="10">
        <v>19.8</v>
      </c>
      <c r="D488" s="10">
        <v>30.8</v>
      </c>
      <c r="E488" s="10">
        <v>99.6</v>
      </c>
      <c r="F488" s="10">
        <v>1</v>
      </c>
      <c r="G488" s="5"/>
      <c r="H488"/>
      <c r="I488"/>
      <c r="J488"/>
      <c r="K488"/>
      <c r="L488"/>
      <c r="M488"/>
    </row>
    <row r="489" spans="1:13" x14ac:dyDescent="0.25">
      <c r="A489" s="10">
        <v>0</v>
      </c>
      <c r="B489" s="10">
        <v>10.9</v>
      </c>
      <c r="C489" s="10">
        <v>28.6</v>
      </c>
      <c r="D489" s="10">
        <v>28.6</v>
      </c>
      <c r="E489" s="10">
        <v>84.8</v>
      </c>
      <c r="F489" s="10">
        <v>1</v>
      </c>
      <c r="G489" s="5"/>
      <c r="H489"/>
      <c r="I489"/>
      <c r="J489"/>
      <c r="K489"/>
      <c r="L489"/>
      <c r="M489"/>
    </row>
    <row r="490" spans="1:13" x14ac:dyDescent="0.25">
      <c r="A490" s="10">
        <v>1</v>
      </c>
      <c r="B490" s="10">
        <v>13.3</v>
      </c>
      <c r="C490" s="10">
        <v>28.5</v>
      </c>
      <c r="D490" s="10">
        <v>29</v>
      </c>
      <c r="E490" s="10">
        <v>87.7</v>
      </c>
      <c r="F490" s="10">
        <v>1</v>
      </c>
      <c r="G490" s="5"/>
      <c r="H490"/>
      <c r="I490"/>
      <c r="J490"/>
      <c r="K490"/>
      <c r="L490"/>
      <c r="M490"/>
    </row>
    <row r="491" spans="1:13" x14ac:dyDescent="0.25">
      <c r="A491" s="10">
        <v>1</v>
      </c>
      <c r="B491" s="10">
        <v>11.1</v>
      </c>
      <c r="C491" s="10">
        <v>28</v>
      </c>
      <c r="D491" s="10">
        <v>30.8</v>
      </c>
      <c r="E491" s="10">
        <v>77.3</v>
      </c>
      <c r="F491" s="10">
        <v>1</v>
      </c>
      <c r="G491" s="5"/>
      <c r="H491"/>
      <c r="I491"/>
      <c r="J491"/>
      <c r="K491"/>
      <c r="L491"/>
      <c r="M491"/>
    </row>
    <row r="492" spans="1:13" x14ac:dyDescent="0.25">
      <c r="A492" s="10">
        <v>1</v>
      </c>
      <c r="B492" s="10">
        <v>12.5</v>
      </c>
      <c r="C492" s="10">
        <v>25.2</v>
      </c>
      <c r="D492" s="10">
        <v>28.3</v>
      </c>
      <c r="E492" s="10">
        <v>73.599999999999994</v>
      </c>
      <c r="F492" s="10">
        <v>1</v>
      </c>
      <c r="G492" s="5"/>
      <c r="H492"/>
      <c r="I492"/>
      <c r="J492"/>
      <c r="K492"/>
      <c r="L492"/>
      <c r="M492"/>
    </row>
    <row r="493" spans="1:13" x14ac:dyDescent="0.25">
      <c r="A493" s="10">
        <v>0</v>
      </c>
      <c r="B493" s="10">
        <v>10.8</v>
      </c>
      <c r="C493" s="10">
        <v>19.7</v>
      </c>
      <c r="D493" s="10">
        <v>29.5</v>
      </c>
      <c r="E493" s="10">
        <v>93</v>
      </c>
      <c r="F493" s="10">
        <v>1</v>
      </c>
      <c r="G493" s="5"/>
      <c r="H493"/>
      <c r="I493"/>
      <c r="J493"/>
      <c r="K493"/>
      <c r="L493"/>
      <c r="M493"/>
    </row>
    <row r="494" spans="1:13" x14ac:dyDescent="0.25">
      <c r="A494" s="10">
        <v>1</v>
      </c>
      <c r="B494" s="10">
        <v>10.5</v>
      </c>
      <c r="C494" s="10">
        <v>23</v>
      </c>
      <c r="D494" s="10">
        <v>30.4</v>
      </c>
      <c r="E494" s="10">
        <v>100.1</v>
      </c>
      <c r="F494" s="10">
        <v>1</v>
      </c>
      <c r="G494" s="5"/>
      <c r="H494"/>
      <c r="I494"/>
      <c r="J494"/>
      <c r="K494"/>
      <c r="L494"/>
      <c r="M494"/>
    </row>
    <row r="495" spans="1:13" x14ac:dyDescent="0.25">
      <c r="A495" s="10">
        <v>1</v>
      </c>
      <c r="B495" s="10">
        <v>11.9</v>
      </c>
      <c r="C495" s="10">
        <v>25.9</v>
      </c>
      <c r="D495" s="10">
        <v>32</v>
      </c>
      <c r="E495" s="10">
        <v>83.2</v>
      </c>
      <c r="F495" s="10">
        <v>1</v>
      </c>
      <c r="G495" s="5"/>
      <c r="H495"/>
      <c r="I495"/>
      <c r="J495"/>
      <c r="K495"/>
      <c r="L495"/>
      <c r="M495"/>
    </row>
    <row r="496" spans="1:13" x14ac:dyDescent="0.25">
      <c r="A496" s="10">
        <v>1</v>
      </c>
      <c r="B496" s="10">
        <v>13.2</v>
      </c>
      <c r="C496" s="10">
        <v>17.8</v>
      </c>
      <c r="D496" s="10">
        <v>29.6</v>
      </c>
      <c r="E496" s="10">
        <v>71.2</v>
      </c>
      <c r="F496" s="10">
        <v>1</v>
      </c>
      <c r="G496" s="5"/>
      <c r="H496"/>
      <c r="I496"/>
      <c r="J496"/>
      <c r="K496"/>
      <c r="L496"/>
      <c r="M496"/>
    </row>
    <row r="497" spans="1:13" x14ac:dyDescent="0.25">
      <c r="A497" s="10">
        <v>0</v>
      </c>
      <c r="B497" s="10">
        <v>11.4</v>
      </c>
      <c r="C497" s="10">
        <v>16.5</v>
      </c>
      <c r="D497" s="10">
        <v>29.8</v>
      </c>
      <c r="E497" s="10">
        <v>100.3</v>
      </c>
      <c r="F497" s="10">
        <v>1</v>
      </c>
      <c r="G497" s="5"/>
      <c r="H497"/>
      <c r="I497"/>
      <c r="J497"/>
      <c r="K497"/>
      <c r="L497"/>
      <c r="M497"/>
    </row>
    <row r="498" spans="1:13" x14ac:dyDescent="0.25">
      <c r="A498" s="10">
        <v>1</v>
      </c>
      <c r="B498" s="10">
        <v>10.9</v>
      </c>
      <c r="C498" s="10">
        <v>27.1</v>
      </c>
      <c r="D498" s="10">
        <v>30</v>
      </c>
      <c r="E498" s="10">
        <v>93.2</v>
      </c>
      <c r="F498" s="10">
        <v>1</v>
      </c>
      <c r="G498" s="5"/>
      <c r="H498"/>
      <c r="I498"/>
      <c r="J498"/>
      <c r="K498"/>
      <c r="L498"/>
      <c r="M498"/>
    </row>
    <row r="499" spans="1:13" x14ac:dyDescent="0.25">
      <c r="A499" s="10">
        <v>1</v>
      </c>
      <c r="B499" s="10">
        <v>12.5</v>
      </c>
      <c r="C499" s="10">
        <v>19.399999999999999</v>
      </c>
      <c r="D499" s="10">
        <v>29.2</v>
      </c>
      <c r="E499" s="10">
        <v>97.4</v>
      </c>
      <c r="F499" s="10">
        <v>1</v>
      </c>
      <c r="G499" s="5"/>
      <c r="H499"/>
      <c r="I499"/>
      <c r="J499"/>
      <c r="K499"/>
      <c r="L499"/>
      <c r="M499"/>
    </row>
    <row r="500" spans="1:13" x14ac:dyDescent="0.25">
      <c r="A500" s="10">
        <v>0</v>
      </c>
      <c r="B500" s="10">
        <v>11.2</v>
      </c>
      <c r="C500" s="10">
        <v>23.1</v>
      </c>
      <c r="D500" s="10">
        <v>30.3</v>
      </c>
      <c r="E500" s="10">
        <v>75.2</v>
      </c>
      <c r="F500" s="10">
        <v>1</v>
      </c>
      <c r="G500" s="5"/>
      <c r="H500"/>
      <c r="I500"/>
      <c r="J500"/>
      <c r="K500"/>
      <c r="L500"/>
      <c r="M500"/>
    </row>
    <row r="501" spans="1:13" x14ac:dyDescent="0.25">
      <c r="A501" s="10">
        <v>0</v>
      </c>
      <c r="B501" s="10">
        <v>10.7</v>
      </c>
      <c r="C501" s="10">
        <v>22.8</v>
      </c>
      <c r="D501" s="10">
        <v>30.5</v>
      </c>
      <c r="E501" s="10">
        <v>81.3</v>
      </c>
      <c r="F501" s="10">
        <v>1</v>
      </c>
      <c r="G501" s="5"/>
      <c r="H501"/>
      <c r="I501"/>
      <c r="J501"/>
      <c r="K501"/>
      <c r="L501"/>
      <c r="M501"/>
    </row>
    <row r="502" spans="1:13" x14ac:dyDescent="0.25">
      <c r="A502" s="10">
        <v>1</v>
      </c>
      <c r="B502" s="10">
        <v>11.8</v>
      </c>
      <c r="C502" s="10">
        <v>28.5</v>
      </c>
      <c r="D502" s="10">
        <v>31.8</v>
      </c>
      <c r="E502" s="10">
        <v>89.7</v>
      </c>
      <c r="F502" s="10">
        <v>1</v>
      </c>
      <c r="G502" s="5"/>
      <c r="H502"/>
      <c r="I502"/>
      <c r="J502"/>
      <c r="K502"/>
      <c r="L502"/>
      <c r="M502"/>
    </row>
    <row r="503" spans="1:13" x14ac:dyDescent="0.25">
      <c r="A503" s="10">
        <v>1</v>
      </c>
      <c r="B503" s="10">
        <v>10.8</v>
      </c>
      <c r="C503" s="10">
        <v>28</v>
      </c>
      <c r="D503" s="10">
        <v>28.8</v>
      </c>
      <c r="E503" s="10">
        <v>90.6</v>
      </c>
      <c r="F503" s="10">
        <v>1</v>
      </c>
      <c r="G503" s="5"/>
      <c r="H503"/>
      <c r="I503"/>
      <c r="J503"/>
      <c r="K503"/>
      <c r="L503"/>
      <c r="M503"/>
    </row>
    <row r="504" spans="1:13" x14ac:dyDescent="0.25">
      <c r="A504" s="10">
        <v>1</v>
      </c>
      <c r="B504" s="10">
        <v>11.4</v>
      </c>
      <c r="C504" s="10">
        <v>29.3</v>
      </c>
      <c r="D504" s="10">
        <v>28.7</v>
      </c>
      <c r="E504" s="10">
        <v>95.8</v>
      </c>
      <c r="F504" s="10">
        <v>1</v>
      </c>
      <c r="G504" s="5"/>
      <c r="H504"/>
      <c r="I504"/>
      <c r="J504"/>
      <c r="K504"/>
      <c r="L504"/>
      <c r="M504"/>
    </row>
    <row r="505" spans="1:13" x14ac:dyDescent="0.25">
      <c r="A505" s="10">
        <v>1</v>
      </c>
      <c r="B505" s="10">
        <v>10.8</v>
      </c>
      <c r="C505" s="10">
        <v>17.5</v>
      </c>
      <c r="D505" s="10">
        <v>29.3</v>
      </c>
      <c r="E505" s="10">
        <v>95.8</v>
      </c>
      <c r="F505" s="10">
        <v>1</v>
      </c>
      <c r="G505" s="5"/>
      <c r="H505"/>
      <c r="I505"/>
      <c r="J505"/>
      <c r="K505"/>
      <c r="L505"/>
      <c r="M505"/>
    </row>
    <row r="506" spans="1:13" x14ac:dyDescent="0.25">
      <c r="A506" s="10">
        <v>0</v>
      </c>
      <c r="B506" s="10">
        <v>10.6</v>
      </c>
      <c r="C506" s="10">
        <v>28</v>
      </c>
      <c r="D506" s="10">
        <v>30.7</v>
      </c>
      <c r="E506" s="10">
        <v>90.9</v>
      </c>
      <c r="F506" s="10">
        <v>1</v>
      </c>
      <c r="G506" s="5"/>
      <c r="H506"/>
      <c r="I506"/>
      <c r="J506"/>
      <c r="K506"/>
      <c r="L506"/>
      <c r="M506"/>
    </row>
    <row r="507" spans="1:13" x14ac:dyDescent="0.25">
      <c r="A507" s="10">
        <v>1</v>
      </c>
      <c r="B507" s="10">
        <v>12.6</v>
      </c>
      <c r="C507" s="10">
        <v>19.100000000000001</v>
      </c>
      <c r="D507" s="10">
        <v>31.5</v>
      </c>
      <c r="E507" s="10">
        <v>85.9</v>
      </c>
      <c r="F507" s="10">
        <v>1</v>
      </c>
      <c r="G507" s="5"/>
      <c r="H507"/>
      <c r="I507"/>
      <c r="J507"/>
      <c r="K507"/>
      <c r="L507"/>
      <c r="M507"/>
    </row>
    <row r="508" spans="1:13" x14ac:dyDescent="0.25">
      <c r="A508" s="10">
        <v>1</v>
      </c>
      <c r="B508" s="10">
        <v>13.4</v>
      </c>
      <c r="C508" s="10">
        <v>17.8</v>
      </c>
      <c r="D508" s="10">
        <v>32.299999999999997</v>
      </c>
      <c r="E508" s="10">
        <v>101.3</v>
      </c>
      <c r="F508" s="10">
        <v>1</v>
      </c>
      <c r="G508" s="5"/>
      <c r="H508"/>
      <c r="I508"/>
      <c r="J508"/>
      <c r="K508"/>
      <c r="L508"/>
      <c r="M508"/>
    </row>
    <row r="509" spans="1:13" x14ac:dyDescent="0.25">
      <c r="A509" s="10">
        <v>1</v>
      </c>
      <c r="B509" s="10">
        <v>13.3</v>
      </c>
      <c r="C509" s="10">
        <v>25.4</v>
      </c>
      <c r="D509" s="10">
        <v>30.8</v>
      </c>
      <c r="E509" s="10">
        <v>82.9</v>
      </c>
      <c r="F509" s="10">
        <v>1</v>
      </c>
      <c r="G509" s="5"/>
      <c r="H509"/>
      <c r="I509"/>
      <c r="J509"/>
      <c r="K509"/>
      <c r="L509"/>
      <c r="M509"/>
    </row>
    <row r="510" spans="1:13" x14ac:dyDescent="0.25">
      <c r="A510" s="10">
        <v>1</v>
      </c>
      <c r="B510" s="10">
        <v>12.8</v>
      </c>
      <c r="C510" s="10">
        <v>21.6</v>
      </c>
      <c r="D510" s="10">
        <v>28.3</v>
      </c>
      <c r="E510" s="10">
        <v>81.2</v>
      </c>
      <c r="F510" s="10">
        <v>1</v>
      </c>
      <c r="G510" s="5"/>
      <c r="H510"/>
      <c r="I510"/>
      <c r="J510"/>
      <c r="K510"/>
      <c r="L510"/>
      <c r="M510"/>
    </row>
    <row r="511" spans="1:13" x14ac:dyDescent="0.25">
      <c r="A511" s="10">
        <v>0</v>
      </c>
      <c r="B511" s="10">
        <v>10.6</v>
      </c>
      <c r="C511" s="10">
        <v>25.6</v>
      </c>
      <c r="D511" s="10">
        <v>28</v>
      </c>
      <c r="E511" s="10">
        <v>72.099999999999994</v>
      </c>
      <c r="F511" s="10">
        <v>1</v>
      </c>
      <c r="G511" s="5"/>
      <c r="H511"/>
      <c r="I511"/>
      <c r="J511"/>
      <c r="K511"/>
      <c r="L511"/>
      <c r="M511"/>
    </row>
    <row r="512" spans="1:13" x14ac:dyDescent="0.25">
      <c r="A512" s="10">
        <v>1</v>
      </c>
      <c r="B512" s="10">
        <v>13.1</v>
      </c>
      <c r="C512" s="10">
        <v>26.9</v>
      </c>
      <c r="D512" s="10">
        <v>29.5</v>
      </c>
      <c r="E512" s="10">
        <v>77.599999999999994</v>
      </c>
      <c r="F512" s="10">
        <v>1</v>
      </c>
      <c r="G512" s="5"/>
      <c r="H512"/>
      <c r="I512"/>
      <c r="J512"/>
      <c r="K512"/>
      <c r="L512"/>
      <c r="M512"/>
    </row>
    <row r="513" spans="1:13" x14ac:dyDescent="0.25">
      <c r="A513" s="10">
        <v>0</v>
      </c>
      <c r="B513" s="10">
        <v>11.1</v>
      </c>
      <c r="C513" s="10">
        <v>16.100000000000001</v>
      </c>
      <c r="D513" s="10">
        <v>32.5</v>
      </c>
      <c r="E513" s="10">
        <v>77.099999999999994</v>
      </c>
      <c r="F513" s="10">
        <v>1</v>
      </c>
      <c r="G513" s="5"/>
      <c r="H513"/>
      <c r="I513"/>
      <c r="J513"/>
      <c r="K513"/>
      <c r="L513"/>
      <c r="M513"/>
    </row>
    <row r="514" spans="1:13" x14ac:dyDescent="0.25">
      <c r="A514" s="10">
        <v>0</v>
      </c>
      <c r="B514" s="10">
        <v>11.7</v>
      </c>
      <c r="C514" s="10">
        <v>19.899999999999999</v>
      </c>
      <c r="D514" s="10">
        <v>28.9</v>
      </c>
      <c r="E514" s="10">
        <v>71.599999999999994</v>
      </c>
      <c r="F514" s="10">
        <v>1</v>
      </c>
      <c r="G514" s="5"/>
      <c r="H514"/>
      <c r="I514"/>
      <c r="J514"/>
      <c r="K514"/>
      <c r="L514"/>
      <c r="M514"/>
    </row>
    <row r="515" spans="1:13" x14ac:dyDescent="0.25">
      <c r="A515" s="10">
        <v>1</v>
      </c>
      <c r="B515" s="10">
        <v>12.7</v>
      </c>
      <c r="C515" s="10">
        <v>22.5</v>
      </c>
      <c r="D515" s="10">
        <v>28.3</v>
      </c>
      <c r="E515" s="10">
        <v>93.5</v>
      </c>
      <c r="F515" s="10">
        <v>1</v>
      </c>
      <c r="G515" s="5"/>
      <c r="H515"/>
      <c r="I515"/>
      <c r="J515"/>
      <c r="K515"/>
      <c r="L515"/>
      <c r="M515"/>
    </row>
    <row r="516" spans="1:13" x14ac:dyDescent="0.25">
      <c r="A516" s="10">
        <v>1</v>
      </c>
      <c r="B516" s="10">
        <v>12.2</v>
      </c>
      <c r="C516" s="10">
        <v>20.100000000000001</v>
      </c>
      <c r="D516" s="10">
        <v>29.8</v>
      </c>
      <c r="E516" s="10">
        <v>72.599999999999994</v>
      </c>
      <c r="F516" s="10">
        <v>1</v>
      </c>
      <c r="G516" s="5"/>
      <c r="H516"/>
      <c r="I516"/>
      <c r="J516"/>
      <c r="K516"/>
      <c r="L516"/>
      <c r="M516"/>
    </row>
    <row r="517" spans="1:13" x14ac:dyDescent="0.25">
      <c r="A517" s="10">
        <v>1</v>
      </c>
      <c r="B517" s="10">
        <v>11.5</v>
      </c>
      <c r="C517" s="10">
        <v>17.399999999999999</v>
      </c>
      <c r="D517" s="10">
        <v>32.1</v>
      </c>
      <c r="E517" s="10">
        <v>87.3</v>
      </c>
      <c r="F517" s="10">
        <v>1</v>
      </c>
      <c r="G517" s="5"/>
      <c r="H517"/>
      <c r="I517"/>
      <c r="J517"/>
      <c r="K517"/>
      <c r="L517"/>
      <c r="M517"/>
    </row>
    <row r="518" spans="1:13" x14ac:dyDescent="0.25">
      <c r="A518" s="10">
        <v>0</v>
      </c>
      <c r="B518" s="10">
        <v>11.5</v>
      </c>
      <c r="C518" s="10">
        <v>18.899999999999999</v>
      </c>
      <c r="D518" s="10">
        <v>31.2</v>
      </c>
      <c r="E518" s="10">
        <v>81.3</v>
      </c>
      <c r="F518" s="10">
        <v>1</v>
      </c>
      <c r="G518" s="5"/>
      <c r="H518"/>
      <c r="I518"/>
      <c r="J518"/>
      <c r="K518"/>
      <c r="L518"/>
      <c r="M518"/>
    </row>
    <row r="519" spans="1:13" x14ac:dyDescent="0.25">
      <c r="A519" s="10">
        <v>1</v>
      </c>
      <c r="B519" s="10">
        <v>11.5</v>
      </c>
      <c r="C519" s="10">
        <v>19.2</v>
      </c>
      <c r="D519" s="10">
        <v>30.8</v>
      </c>
      <c r="E519" s="10">
        <v>78.2</v>
      </c>
      <c r="F519" s="10">
        <v>1</v>
      </c>
      <c r="G519" s="5"/>
      <c r="H519"/>
      <c r="I519"/>
      <c r="J519"/>
      <c r="K519"/>
      <c r="L519"/>
      <c r="M519"/>
    </row>
    <row r="520" spans="1:13" x14ac:dyDescent="0.25">
      <c r="A520" s="10">
        <v>1</v>
      </c>
      <c r="B520" s="10">
        <v>13.1</v>
      </c>
      <c r="C520" s="10">
        <v>21.3</v>
      </c>
      <c r="D520" s="10">
        <v>32.4</v>
      </c>
      <c r="E520" s="10">
        <v>100.6</v>
      </c>
      <c r="F520" s="10">
        <v>1</v>
      </c>
      <c r="G520" s="5"/>
      <c r="H520"/>
      <c r="I520"/>
      <c r="J520"/>
      <c r="K520"/>
      <c r="L520"/>
      <c r="M520"/>
    </row>
    <row r="521" spans="1:13" x14ac:dyDescent="0.25">
      <c r="A521" s="10">
        <v>1</v>
      </c>
      <c r="B521" s="10">
        <v>12.8</v>
      </c>
      <c r="C521" s="10">
        <v>19.5</v>
      </c>
      <c r="D521" s="10">
        <v>32.200000000000003</v>
      </c>
      <c r="E521" s="10">
        <v>72.099999999999994</v>
      </c>
      <c r="F521" s="10">
        <v>1</v>
      </c>
      <c r="G521" s="5"/>
      <c r="H521"/>
      <c r="I521"/>
      <c r="J521"/>
      <c r="K521"/>
      <c r="L521"/>
      <c r="M521"/>
    </row>
    <row r="522" spans="1:13" x14ac:dyDescent="0.25">
      <c r="A522" s="10">
        <v>1</v>
      </c>
      <c r="B522" s="10">
        <v>12.3</v>
      </c>
      <c r="C522" s="10">
        <v>22.9</v>
      </c>
      <c r="D522" s="10">
        <v>27.9</v>
      </c>
      <c r="E522" s="10">
        <v>71</v>
      </c>
      <c r="F522" s="10">
        <v>1</v>
      </c>
      <c r="G522" s="5"/>
      <c r="H522"/>
      <c r="I522"/>
      <c r="J522"/>
      <c r="K522"/>
      <c r="L522"/>
      <c r="M522"/>
    </row>
    <row r="523" spans="1:13" x14ac:dyDescent="0.25">
      <c r="A523" s="10">
        <v>1</v>
      </c>
      <c r="B523" s="10">
        <v>11.6</v>
      </c>
      <c r="C523" s="10">
        <v>24.6</v>
      </c>
      <c r="D523" s="10">
        <v>28.2</v>
      </c>
      <c r="E523" s="10">
        <v>96.7</v>
      </c>
      <c r="F523" s="10">
        <v>1</v>
      </c>
      <c r="G523" s="5"/>
      <c r="H523"/>
      <c r="I523"/>
      <c r="J523"/>
      <c r="K523"/>
      <c r="L523"/>
      <c r="M523"/>
    </row>
    <row r="524" spans="1:13" x14ac:dyDescent="0.25">
      <c r="A524" s="10">
        <v>0</v>
      </c>
      <c r="B524" s="10">
        <v>11.7</v>
      </c>
      <c r="C524" s="10">
        <v>24.4</v>
      </c>
      <c r="D524" s="10">
        <v>31.5</v>
      </c>
      <c r="E524" s="10">
        <v>99.8</v>
      </c>
      <c r="F524" s="10">
        <v>1</v>
      </c>
      <c r="G524" s="5"/>
      <c r="H524"/>
      <c r="I524"/>
      <c r="J524"/>
      <c r="K524"/>
      <c r="L524"/>
      <c r="M524"/>
    </row>
    <row r="525" spans="1:13" x14ac:dyDescent="0.25">
      <c r="A525" s="10">
        <v>1</v>
      </c>
      <c r="B525" s="10">
        <v>12.9</v>
      </c>
      <c r="C525" s="10">
        <v>19.5</v>
      </c>
      <c r="D525" s="10">
        <v>28.7</v>
      </c>
      <c r="E525" s="10">
        <v>87.7</v>
      </c>
      <c r="F525" s="10">
        <v>1</v>
      </c>
      <c r="G525" s="5"/>
      <c r="H525"/>
      <c r="I525"/>
      <c r="J525"/>
      <c r="K525"/>
      <c r="L525"/>
      <c r="M525"/>
    </row>
    <row r="526" spans="1:13" x14ac:dyDescent="0.25">
      <c r="A526" s="10">
        <v>0</v>
      </c>
      <c r="B526" s="10">
        <v>11.2</v>
      </c>
      <c r="C526" s="10">
        <v>18.8</v>
      </c>
      <c r="D526" s="10">
        <v>30.9</v>
      </c>
      <c r="E526" s="10">
        <v>94.7</v>
      </c>
      <c r="F526" s="10">
        <v>1</v>
      </c>
      <c r="G526" s="5"/>
      <c r="H526"/>
      <c r="I526"/>
      <c r="J526"/>
      <c r="K526"/>
      <c r="L526"/>
      <c r="M526"/>
    </row>
    <row r="527" spans="1:13" x14ac:dyDescent="0.25">
      <c r="A527" s="10">
        <v>0</v>
      </c>
      <c r="B527" s="10">
        <v>11.6</v>
      </c>
      <c r="C527" s="10">
        <v>18.8</v>
      </c>
      <c r="D527" s="10">
        <v>29.3</v>
      </c>
      <c r="E527" s="10">
        <v>79.099999999999994</v>
      </c>
      <c r="F527" s="10">
        <v>1</v>
      </c>
      <c r="G527" s="5"/>
      <c r="H527"/>
      <c r="I527"/>
      <c r="J527"/>
      <c r="K527"/>
      <c r="L527"/>
      <c r="M527"/>
    </row>
    <row r="528" spans="1:13" x14ac:dyDescent="0.25">
      <c r="A528" s="10">
        <v>1</v>
      </c>
      <c r="B528" s="10">
        <v>12.1</v>
      </c>
      <c r="C528" s="10">
        <v>18.899999999999999</v>
      </c>
      <c r="D528" s="10">
        <v>31.2</v>
      </c>
      <c r="E528" s="10">
        <v>76</v>
      </c>
      <c r="F528" s="10">
        <v>1</v>
      </c>
      <c r="G528" s="5"/>
      <c r="H528"/>
      <c r="I528"/>
      <c r="J528"/>
      <c r="K528"/>
      <c r="L528"/>
      <c r="M528"/>
    </row>
    <row r="529" spans="1:13" x14ac:dyDescent="0.25">
      <c r="A529" s="10">
        <v>1</v>
      </c>
      <c r="B529" s="10">
        <v>13.2</v>
      </c>
      <c r="C529" s="10">
        <v>20.100000000000001</v>
      </c>
      <c r="D529" s="10">
        <v>28.8</v>
      </c>
      <c r="E529" s="10">
        <v>91.2</v>
      </c>
      <c r="F529" s="10">
        <v>1</v>
      </c>
      <c r="G529" s="5"/>
      <c r="H529"/>
      <c r="I529"/>
      <c r="J529"/>
      <c r="K529"/>
      <c r="L529"/>
      <c r="M529"/>
    </row>
    <row r="530" spans="1:13" x14ac:dyDescent="0.25">
      <c r="A530" s="10">
        <v>0</v>
      </c>
      <c r="B530" s="10">
        <v>10.6</v>
      </c>
      <c r="C530" s="10">
        <v>25.4</v>
      </c>
      <c r="D530" s="10">
        <v>28.2</v>
      </c>
      <c r="E530" s="10">
        <v>82.9</v>
      </c>
      <c r="F530" s="10">
        <v>1</v>
      </c>
      <c r="G530" s="5"/>
      <c r="H530"/>
      <c r="I530"/>
      <c r="J530"/>
      <c r="K530"/>
      <c r="L530"/>
      <c r="M530"/>
    </row>
    <row r="531" spans="1:13" x14ac:dyDescent="0.25">
      <c r="A531" s="10">
        <v>1</v>
      </c>
      <c r="B531" s="10">
        <v>12.1</v>
      </c>
      <c r="C531" s="10">
        <v>28.3</v>
      </c>
      <c r="D531" s="10">
        <v>30.4</v>
      </c>
      <c r="E531" s="10">
        <v>86.9</v>
      </c>
      <c r="F531" s="10">
        <v>1</v>
      </c>
      <c r="G531" s="5"/>
      <c r="H531"/>
      <c r="I531"/>
      <c r="J531"/>
      <c r="K531"/>
      <c r="L531"/>
      <c r="M531"/>
    </row>
    <row r="532" spans="1:13" x14ac:dyDescent="0.25">
      <c r="A532" s="10">
        <v>1</v>
      </c>
      <c r="B532" s="10">
        <v>13.1</v>
      </c>
      <c r="C532" s="10">
        <v>17.7</v>
      </c>
      <c r="D532" s="10">
        <v>28.1</v>
      </c>
      <c r="E532" s="10">
        <v>80.7</v>
      </c>
      <c r="F532" s="10">
        <v>1</v>
      </c>
      <c r="G532" s="5"/>
      <c r="H532"/>
      <c r="I532"/>
      <c r="J532"/>
      <c r="K532"/>
      <c r="L532"/>
      <c r="M532"/>
    </row>
    <row r="533" spans="1:13" x14ac:dyDescent="0.25">
      <c r="A533" s="10">
        <v>0</v>
      </c>
      <c r="B533" s="10">
        <v>11.8</v>
      </c>
      <c r="C533" s="10">
        <v>21.2</v>
      </c>
      <c r="D533" s="10">
        <v>28.4</v>
      </c>
      <c r="E533" s="10">
        <v>98.1</v>
      </c>
      <c r="F533" s="10">
        <v>1</v>
      </c>
      <c r="G533" s="5"/>
      <c r="H533"/>
      <c r="I533"/>
      <c r="J533"/>
      <c r="K533"/>
      <c r="L533"/>
      <c r="M533"/>
    </row>
    <row r="534" spans="1:13" x14ac:dyDescent="0.25">
      <c r="A534" s="10">
        <v>1</v>
      </c>
      <c r="B534" s="10">
        <v>13.2</v>
      </c>
      <c r="C534" s="10">
        <v>20.399999999999999</v>
      </c>
      <c r="D534" s="10">
        <v>28</v>
      </c>
      <c r="E534" s="10">
        <v>97.4</v>
      </c>
      <c r="F534" s="10">
        <v>1</v>
      </c>
      <c r="G534" s="5"/>
      <c r="H534"/>
      <c r="I534"/>
      <c r="J534"/>
      <c r="K534"/>
      <c r="L534"/>
      <c r="M534"/>
    </row>
    <row r="535" spans="1:13" x14ac:dyDescent="0.25">
      <c r="A535" s="10">
        <v>1</v>
      </c>
      <c r="B535" s="10">
        <v>13</v>
      </c>
      <c r="C535" s="10">
        <v>26</v>
      </c>
      <c r="D535" s="10">
        <v>31.4</v>
      </c>
      <c r="E535" s="10">
        <v>82.8</v>
      </c>
      <c r="F535" s="10">
        <v>1</v>
      </c>
      <c r="G535" s="5"/>
      <c r="H535"/>
      <c r="I535"/>
      <c r="J535"/>
      <c r="K535"/>
      <c r="L535"/>
      <c r="M535"/>
    </row>
    <row r="536" spans="1:13" x14ac:dyDescent="0.25">
      <c r="H536"/>
      <c r="I536"/>
      <c r="J536"/>
      <c r="K536"/>
      <c r="L536"/>
      <c r="M536"/>
    </row>
    <row r="537" spans="1:13" x14ac:dyDescent="0.25">
      <c r="H537"/>
      <c r="I537"/>
      <c r="J537"/>
      <c r="K537"/>
      <c r="L537"/>
      <c r="M537"/>
    </row>
    <row r="538" spans="1:13" x14ac:dyDescent="0.25">
      <c r="H538"/>
      <c r="I538"/>
      <c r="J538"/>
      <c r="K538"/>
      <c r="L538"/>
      <c r="M538"/>
    </row>
    <row r="539" spans="1:13" x14ac:dyDescent="0.25">
      <c r="H539"/>
      <c r="I539"/>
      <c r="J539"/>
      <c r="K539"/>
      <c r="L539"/>
      <c r="M539"/>
    </row>
    <row r="540" spans="1:13" x14ac:dyDescent="0.25">
      <c r="H540"/>
      <c r="I540"/>
      <c r="J540"/>
      <c r="K540"/>
      <c r="L540"/>
      <c r="M540"/>
    </row>
    <row r="541" spans="1:13" x14ac:dyDescent="0.25">
      <c r="H541"/>
      <c r="I541"/>
      <c r="J541"/>
      <c r="K541"/>
      <c r="L541"/>
      <c r="M541"/>
    </row>
    <row r="542" spans="1:13" x14ac:dyDescent="0.25">
      <c r="H542"/>
      <c r="I542"/>
      <c r="J542"/>
      <c r="K542"/>
      <c r="L542"/>
      <c r="M542"/>
    </row>
    <row r="543" spans="1:13" x14ac:dyDescent="0.25">
      <c r="H543"/>
      <c r="I543"/>
      <c r="J543"/>
      <c r="K543"/>
      <c r="L543"/>
      <c r="M543"/>
    </row>
    <row r="544" spans="1:13" x14ac:dyDescent="0.25">
      <c r="H544"/>
      <c r="I544"/>
      <c r="J544"/>
      <c r="K544"/>
      <c r="L544"/>
      <c r="M544"/>
    </row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</sheetData>
  <autoFilter ref="O1:T1422" xr:uid="{45B71CF5-9612-4A10-A9E8-CE9141340A40}">
    <sortState xmlns:xlrd2="http://schemas.microsoft.com/office/spreadsheetml/2017/richdata2" ref="O2:T1422">
      <sortCondition ref="T1:T1422"/>
    </sortState>
  </autoFilter>
  <sortState xmlns:xlrd2="http://schemas.microsoft.com/office/spreadsheetml/2017/richdata2" ref="A2:F535">
    <sortCondition ref="F2:F53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3E380-7BED-4604-A139-8A6674854C2A}">
  <dimension ref="A1:AB428"/>
  <sheetViews>
    <sheetView zoomScale="70" zoomScaleNormal="70" workbookViewId="0">
      <selection activeCell="Z19" sqref="Z19"/>
    </sheetView>
  </sheetViews>
  <sheetFormatPr defaultRowHeight="15" x14ac:dyDescent="0.25"/>
  <cols>
    <col min="1" max="1" width="17.85546875" style="5" bestFit="1" customWidth="1"/>
    <col min="2" max="5" width="13.7109375" style="5" bestFit="1" customWidth="1"/>
    <col min="6" max="6" width="9.140625" style="5"/>
    <col min="7" max="10" width="13.7109375" style="5" bestFit="1" customWidth="1"/>
    <col min="11" max="11" width="12.42578125" style="5" bestFit="1" customWidth="1"/>
    <col min="12" max="15" width="13.7109375" style="5" bestFit="1" customWidth="1"/>
    <col min="16" max="16" width="9.140625" style="5"/>
    <col min="17" max="17" width="17.140625" style="5" bestFit="1" customWidth="1"/>
    <col min="18" max="18" width="13.7109375" style="5" bestFit="1" customWidth="1"/>
    <col min="19" max="19" width="9.140625" style="5"/>
    <col min="20" max="20" width="15.28515625" style="5" bestFit="1" customWidth="1"/>
    <col min="21" max="21" width="17.140625" style="5" bestFit="1" customWidth="1"/>
    <col min="22" max="22" width="9.140625" style="5"/>
    <col min="23" max="23" width="27.5703125" style="5" bestFit="1" customWidth="1"/>
    <col min="24" max="24" width="9.140625" style="5"/>
    <col min="25" max="25" width="14.5703125" style="5" bestFit="1" customWidth="1"/>
    <col min="26" max="26" width="27.140625" style="5" bestFit="1" customWidth="1"/>
    <col min="27" max="27" width="13.7109375" style="5" bestFit="1" customWidth="1"/>
    <col min="28" max="28" width="15.42578125" style="5" bestFit="1" customWidth="1"/>
    <col min="29" max="16384" width="9.140625" style="5"/>
  </cols>
  <sheetData>
    <row r="1" spans="1:28" x14ac:dyDescent="0.25">
      <c r="A1" s="4" t="s">
        <v>6</v>
      </c>
      <c r="B1" s="4" t="s">
        <v>7</v>
      </c>
      <c r="C1" s="4" t="s">
        <v>2</v>
      </c>
      <c r="D1" s="4" t="s">
        <v>3</v>
      </c>
      <c r="E1" s="4" t="s">
        <v>4</v>
      </c>
      <c r="F1" s="9"/>
      <c r="G1" s="20" t="s">
        <v>25</v>
      </c>
      <c r="H1" s="20"/>
      <c r="I1" s="20"/>
      <c r="J1" s="20"/>
      <c r="L1" s="20" t="s">
        <v>26</v>
      </c>
      <c r="M1" s="20"/>
      <c r="N1" s="20"/>
      <c r="O1" s="20"/>
      <c r="Q1" s="20" t="s">
        <v>18</v>
      </c>
      <c r="R1" s="20"/>
      <c r="T1" s="18" t="s">
        <v>18</v>
      </c>
      <c r="U1" s="19"/>
      <c r="W1" s="4" t="s">
        <v>24</v>
      </c>
      <c r="Y1" s="17" t="s">
        <v>30</v>
      </c>
      <c r="Z1" s="16" t="s">
        <v>35</v>
      </c>
      <c r="AA1"/>
      <c r="AB1"/>
    </row>
    <row r="2" spans="1:28" x14ac:dyDescent="0.25">
      <c r="A2" s="4" t="s">
        <v>8</v>
      </c>
      <c r="B2" s="6">
        <f>AVERAGE('DATA SIAP'!P2:P232)</f>
        <v>14.837662337662335</v>
      </c>
      <c r="C2" s="6">
        <f>AVERAGE('DATA SIAP'!Q2:Q232)</f>
        <v>22.906060606060617</v>
      </c>
      <c r="D2" s="6">
        <f>AVERAGE('DATA SIAP'!R2:R232)</f>
        <v>30.120346320346304</v>
      </c>
      <c r="E2" s="6">
        <f>AVERAGE('DATA SIAP'!S2:S232)</f>
        <v>85.803896103896093</v>
      </c>
      <c r="F2" s="9"/>
      <c r="G2" s="4" t="s">
        <v>13</v>
      </c>
      <c r="H2" s="4" t="s">
        <v>14</v>
      </c>
      <c r="I2" s="4" t="s">
        <v>15</v>
      </c>
      <c r="J2" s="4" t="s">
        <v>16</v>
      </c>
      <c r="L2" s="4" t="s">
        <v>13</v>
      </c>
      <c r="M2" s="4" t="s">
        <v>14</v>
      </c>
      <c r="N2" s="4" t="s">
        <v>15</v>
      </c>
      <c r="O2" s="4" t="s">
        <v>16</v>
      </c>
      <c r="Q2" s="4" t="s">
        <v>20</v>
      </c>
      <c r="R2" s="7">
        <f>COUNTIF('DATA SIAP'!M:M, 0) / COUNT('DATA SIAP'!M:M)</f>
        <v>0.54225352112676062</v>
      </c>
      <c r="T2" s="4" t="s">
        <v>20</v>
      </c>
      <c r="U2" s="4" t="s">
        <v>19</v>
      </c>
      <c r="W2" s="7" t="str">
        <f>IF(T3&gt;U3, "ANEMIA", "SEHAT")</f>
        <v>ANEMIA</v>
      </c>
      <c r="Y2" s="17" t="s">
        <v>31</v>
      </c>
      <c r="Z2" s="16" t="s">
        <v>36</v>
      </c>
      <c r="AA2"/>
      <c r="AB2"/>
    </row>
    <row r="3" spans="1:28" x14ac:dyDescent="0.25">
      <c r="A3" s="4" t="s">
        <v>9</v>
      </c>
      <c r="B3" s="7">
        <f>_xlfn.STDEV.S('DATA SIAP'!P2:P232)</f>
        <v>1.313048788229529</v>
      </c>
      <c r="C3" s="7">
        <f>_xlfn.STDEV.S('DATA SIAP'!Q2:Q232)</f>
        <v>3.8418244732505129</v>
      </c>
      <c r="D3" s="7">
        <f>_xlfn.STDEV.S('DATA SIAP'!R2:R232)</f>
        <v>1.4019774424383467</v>
      </c>
      <c r="E3" s="7">
        <f>_xlfn.STDEV.S('DATA SIAP'!S2:S232)</f>
        <v>9.2574262771094808</v>
      </c>
      <c r="F3" s="9"/>
      <c r="G3" s="7">
        <f>_xlfn.NORM.DIST('DATA SIAP'!I2,$B$2,$B$3, FALSE)</f>
        <v>0.30348677398303142</v>
      </c>
      <c r="H3" s="7">
        <f>_xlfn.NORM.DIST('DATA SIAP'!J2,$C$2,$C$3, FALSE)</f>
        <v>0.10369262057512099</v>
      </c>
      <c r="I3" s="7">
        <f>_xlfn.NORM.DIST('DATA SIAP'!K2,$D$2,$D$3, FALSE)</f>
        <v>0.21834869514136626</v>
      </c>
      <c r="J3" s="7">
        <f>_xlfn.NORM.DIST('DATA SIAP'!L2,$E$2,$E$3, FALSE)</f>
        <v>4.1995640306042137E-2</v>
      </c>
      <c r="L3" s="7">
        <f>_xlfn.NORM.DIST('DATA SIAP'!I2,$B$5,$B$6, FALSE)</f>
        <v>5.7836964810562405E-3</v>
      </c>
      <c r="M3" s="7">
        <f>_xlfn.NORM.DIST('DATA SIAP'!J2,$C$5,$C$6, FALSE)</f>
        <v>9.669566850487403E-2</v>
      </c>
      <c r="N3" s="7">
        <f>_xlfn.NORM.DIST('DATA SIAP'!K2,$D$5,$D$6, FALSE)</f>
        <v>0.19067592347995771</v>
      </c>
      <c r="O3" s="7">
        <f>_xlfn.NORM.DIST('DATA SIAP'!L2,$E$5,$E$6, FALSE)</f>
        <v>3.9984228905697201E-2</v>
      </c>
      <c r="Q3" s="4" t="s">
        <v>19</v>
      </c>
      <c r="R3" s="7">
        <f>COUNTIF('DATA SIAP'!M:M, 1) / COUNT('DATA SIAP'!M:M)</f>
        <v>0.45774647887323944</v>
      </c>
      <c r="T3" s="7">
        <f t="shared" ref="T3:T66" si="0">$R$2 * G3 * H3 * I3 * J3</f>
        <v>1.5647494534585306E-4</v>
      </c>
      <c r="U3" s="7">
        <f t="shared" ref="U3:U66" si="1">$R$3 * L3 * M3 * N3 * O3</f>
        <v>1.9517406604540427E-6</v>
      </c>
      <c r="W3" s="7" t="str">
        <f>IF(T4&gt;U4, "ANEMIA", "SEHAT")</f>
        <v>ANEMIA</v>
      </c>
      <c r="Y3" s="17" t="s">
        <v>32</v>
      </c>
      <c r="Z3" s="16" t="s">
        <v>37</v>
      </c>
      <c r="AA3"/>
      <c r="AB3"/>
    </row>
    <row r="4" spans="1:28" x14ac:dyDescent="0.25">
      <c r="A4" s="4"/>
      <c r="B4" s="4"/>
      <c r="C4" s="4"/>
      <c r="D4" s="4"/>
      <c r="E4" s="4"/>
      <c r="F4" s="9"/>
      <c r="G4" s="7">
        <f>_xlfn.NORM.DIST('DATA SIAP'!I3,$B$2,$B$3, FALSE)</f>
        <v>0.21902250053629846</v>
      </c>
      <c r="H4" s="7">
        <f>_xlfn.NORM.DIST('DATA SIAP'!J3,$C$2,$C$3, FALSE)</f>
        <v>8.411360207490938E-2</v>
      </c>
      <c r="I4" s="7">
        <f>_xlfn.NORM.DIST('DATA SIAP'!K3,$D$2,$D$3, FALSE)</f>
        <v>0.12248570720321851</v>
      </c>
      <c r="J4" s="7">
        <f>_xlfn.NORM.DIST('DATA SIAP'!L3,$E$2,$E$3, FALSE)</f>
        <v>1.4177798669074832E-2</v>
      </c>
      <c r="L4" s="7">
        <f>_xlfn.NORM.DIST('DATA SIAP'!I3,$B$5,$B$6, FALSE)</f>
        <v>4.061080910159737E-4</v>
      </c>
      <c r="M4" s="7">
        <f>_xlfn.NORM.DIST('DATA SIAP'!J3,$C$5,$C$6, FALSE)</f>
        <v>8.0863794049172724E-2</v>
      </c>
      <c r="N4" s="7">
        <f>_xlfn.NORM.DIST('DATA SIAP'!K3,$D$5,$D$6, FALSE)</f>
        <v>9.2733895700821981E-2</v>
      </c>
      <c r="O4" s="7">
        <f>_xlfn.NORM.DIST('DATA SIAP'!L3,$E$5,$E$6, FALSE)</f>
        <v>1.6505217039435326E-2</v>
      </c>
      <c r="T4" s="7">
        <f t="shared" si="0"/>
        <v>1.734808591153248E-5</v>
      </c>
      <c r="U4" s="7">
        <f t="shared" si="1"/>
        <v>2.300808709936806E-8</v>
      </c>
      <c r="W4" s="7" t="str">
        <f t="shared" ref="W4:W67" si="2">IF(T5&gt;U5, "ANEMIA", "SEHAT")</f>
        <v>SEHAT</v>
      </c>
      <c r="Y4" s="17" t="s">
        <v>33</v>
      </c>
      <c r="Z4" s="16" t="s">
        <v>38</v>
      </c>
      <c r="AA4"/>
      <c r="AB4"/>
    </row>
    <row r="5" spans="1:28" x14ac:dyDescent="0.25">
      <c r="A5" s="4" t="s">
        <v>10</v>
      </c>
      <c r="B5" s="6">
        <f>AVERAGE('DATA SIAP'!P233:P427)</f>
        <v>11.426666666666666</v>
      </c>
      <c r="C5" s="6">
        <f>AVERAGE('DATA SIAP'!Q233:Q427)</f>
        <v>22.926153846153834</v>
      </c>
      <c r="D5" s="6">
        <f>AVERAGE('DATA SIAP'!R233:R427)</f>
        <v>30.362564102564093</v>
      </c>
      <c r="E5" s="6">
        <f>AVERAGE('DATA SIAP'!S233:S427)</f>
        <v>85.205128205128247</v>
      </c>
      <c r="F5" s="9"/>
      <c r="G5" s="7">
        <f>_xlfn.NORM.DIST('DATA SIAP'!I4,$B$2,$B$3, FALSE)</f>
        <v>1.5506803851852392E-5</v>
      </c>
      <c r="H5" s="7">
        <f>_xlfn.NORM.DIST('DATA SIAP'!J4,$C$2,$C$3, FALSE)</f>
        <v>9.7115001686991193E-2</v>
      </c>
      <c r="I5" s="7">
        <f>_xlfn.NORM.DIST('DATA SIAP'!K4,$D$2,$D$3, FALSE)</f>
        <v>0.26561722062877446</v>
      </c>
      <c r="J5" s="7">
        <f>_xlfn.NORM.DIST('DATA SIAP'!L4,$E$2,$E$3, FALSE)</f>
        <v>1.2417234425301847E-2</v>
      </c>
      <c r="L5" s="7">
        <f>_xlfn.NORM.DIST('DATA SIAP'!I4,$B$5,$B$6, FALSE)</f>
        <v>4.5565576159052767E-2</v>
      </c>
      <c r="M5" s="7">
        <f>_xlfn.NORM.DIST('DATA SIAP'!J4,$C$5,$C$6, FALSE)</f>
        <v>9.1208750568405911E-2</v>
      </c>
      <c r="N5" s="7">
        <f>_xlfn.NORM.DIST('DATA SIAP'!K4,$D$5,$D$6, FALSE)</f>
        <v>0.25087690118257733</v>
      </c>
      <c r="O5" s="7">
        <f>_xlfn.NORM.DIST('DATA SIAP'!L4,$E$5,$E$6, FALSE)</f>
        <v>1.4757734253638343E-2</v>
      </c>
      <c r="T5" s="7">
        <f t="shared" si="0"/>
        <v>2.6933457273240072E-9</v>
      </c>
      <c r="U5" s="7">
        <f t="shared" si="1"/>
        <v>7.0433415214638227E-6</v>
      </c>
      <c r="W5" s="7" t="str">
        <f t="shared" si="2"/>
        <v>ANEMIA</v>
      </c>
      <c r="Y5"/>
      <c r="Z5"/>
      <c r="AA5"/>
      <c r="AB5"/>
    </row>
    <row r="6" spans="1:28" x14ac:dyDescent="0.25">
      <c r="A6" s="4" t="s">
        <v>11</v>
      </c>
      <c r="B6" s="7">
        <f>_xlfn.STDEV.S('DATA SIAP'!P233:P427)</f>
        <v>1.2230630243417759</v>
      </c>
      <c r="C6" s="7">
        <f>_xlfn.STDEV.S('DATA SIAP'!Q233:Q427)</f>
        <v>4.119538943890527</v>
      </c>
      <c r="D6" s="7">
        <f>_xlfn.STDEV.S('DATA SIAP'!R233:R427)</f>
        <v>1.3583584657170376</v>
      </c>
      <c r="E6" s="7">
        <f>_xlfn.STDEV.S('DATA SIAP'!S233:S427)</f>
        <v>9.8619635003081729</v>
      </c>
      <c r="F6" s="9"/>
      <c r="G6" s="7">
        <f>_xlfn.NORM.DIST('DATA SIAP'!I5,$B$2,$B$3, FALSE)</f>
        <v>0.30348677398303142</v>
      </c>
      <c r="H6" s="7">
        <f>_xlfn.NORM.DIST('DATA SIAP'!J5,$C$2,$C$3, FALSE)</f>
        <v>2.0639112153173694E-2</v>
      </c>
      <c r="I6" s="7">
        <f>_xlfn.NORM.DIST('DATA SIAP'!K5,$D$2,$D$3, FALSE)</f>
        <v>0.18761229391009854</v>
      </c>
      <c r="J6" s="7">
        <f>_xlfn.NORM.DIST('DATA SIAP'!L5,$E$2,$E$3, FALSE)</f>
        <v>4.2377040486273915E-2</v>
      </c>
      <c r="L6" s="7">
        <f>_xlfn.NORM.DIST('DATA SIAP'!I5,$B$5,$B$6, FALSE)</f>
        <v>5.7836964810562405E-3</v>
      </c>
      <c r="M6" s="7">
        <f>_xlfn.NORM.DIST('DATA SIAP'!J5,$C$5,$C$6, FALSE)</f>
        <v>2.3563564970255586E-2</v>
      </c>
      <c r="N6" s="7">
        <f>_xlfn.NORM.DIST('DATA SIAP'!K5,$D$5,$D$6, FALSE)</f>
        <v>0.21939825426614995</v>
      </c>
      <c r="O6" s="7">
        <f>_xlfn.NORM.DIST('DATA SIAP'!L5,$E$5,$E$6, FALSE)</f>
        <v>3.9372081817587196E-2</v>
      </c>
      <c r="T6" s="7">
        <f t="shared" si="0"/>
        <v>2.700381212861188E-5</v>
      </c>
      <c r="U6" s="7">
        <f t="shared" si="1"/>
        <v>5.3888122014096968E-7</v>
      </c>
      <c r="W6" s="7" t="str">
        <f t="shared" si="2"/>
        <v>ANEMIA</v>
      </c>
      <c r="Y6"/>
      <c r="Z6"/>
      <c r="AA6"/>
      <c r="AB6"/>
    </row>
    <row r="7" spans="1:28" x14ac:dyDescent="0.25">
      <c r="A7" s="13"/>
      <c r="B7" s="13"/>
      <c r="C7" s="13"/>
      <c r="D7" s="13"/>
      <c r="E7" s="13"/>
      <c r="F7" s="13"/>
      <c r="G7" s="7">
        <f>_xlfn.NORM.DIST('DATA SIAP'!I6,$B$2,$B$3, FALSE)</f>
        <v>0.30216375232280629</v>
      </c>
      <c r="H7" s="7">
        <f>_xlfn.NORM.DIST('DATA SIAP'!J6,$C$2,$C$3, FALSE)</f>
        <v>0.10099376942535292</v>
      </c>
      <c r="I7" s="7">
        <f>_xlfn.NORM.DIST('DATA SIAP'!K6,$D$2,$D$3, FALSE)</f>
        <v>0.11136771953090253</v>
      </c>
      <c r="J7" s="7">
        <f>_xlfn.NORM.DIST('DATA SIAP'!L6,$E$2,$E$3, FALSE)</f>
        <v>1.4425130051272671E-2</v>
      </c>
      <c r="L7" s="7">
        <f>_xlfn.NORM.DIST('DATA SIAP'!I6,$B$5,$B$6, FALSE)</f>
        <v>9.0798586436414176E-3</v>
      </c>
      <c r="M7" s="7">
        <f>_xlfn.NORM.DIST('DATA SIAP'!J6,$C$5,$C$6, FALSE)</f>
        <v>9.4424779024592773E-2</v>
      </c>
      <c r="N7" s="7">
        <f>_xlfn.NORM.DIST('DATA SIAP'!K6,$D$5,$D$6, FALSE)</f>
        <v>8.270172681067138E-2</v>
      </c>
      <c r="O7" s="7">
        <f>_xlfn.NORM.DIST('DATA SIAP'!L6,$E$5,$E$6, FALSE)</f>
        <v>1.414855989925907E-2</v>
      </c>
      <c r="T7" s="7">
        <f t="shared" si="0"/>
        <v>2.6583881454169721E-5</v>
      </c>
      <c r="U7" s="7">
        <f t="shared" si="1"/>
        <v>4.5921587414299967E-7</v>
      </c>
      <c r="W7" s="7" t="str">
        <f t="shared" si="2"/>
        <v>SEHAT</v>
      </c>
      <c r="Y7" s="17" t="s">
        <v>30</v>
      </c>
      <c r="Z7" s="17" t="s">
        <v>31</v>
      </c>
      <c r="AA7" s="17" t="s">
        <v>32</v>
      </c>
      <c r="AB7" s="17" t="s">
        <v>33</v>
      </c>
    </row>
    <row r="8" spans="1:28" x14ac:dyDescent="0.25">
      <c r="A8" s="20" t="s">
        <v>12</v>
      </c>
      <c r="B8" s="20"/>
      <c r="C8" s="20"/>
      <c r="D8" s="20"/>
      <c r="F8" s="13"/>
      <c r="G8" s="7">
        <f>_xlfn.NORM.DIST('DATA SIAP'!I7,$B$2,$B$3, FALSE)</f>
        <v>1.4533849635820748E-2</v>
      </c>
      <c r="H8" s="7">
        <f>_xlfn.NORM.DIST('DATA SIAP'!J7,$C$2,$C$3, FALSE)</f>
        <v>0.10255777641540727</v>
      </c>
      <c r="I8" s="7">
        <f>_xlfn.NORM.DIST('DATA SIAP'!K7,$D$2,$D$3, FALSE)</f>
        <v>0.24378919066312044</v>
      </c>
      <c r="J8" s="7">
        <f>_xlfn.NORM.DIST('DATA SIAP'!L7,$E$2,$E$3, FALSE)</f>
        <v>2.0448179512355891E-2</v>
      </c>
      <c r="L8" s="7">
        <f>_xlfn.NORM.DIST('DATA SIAP'!I7,$B$5,$B$6, FALSE)</f>
        <v>0.32292367051886689</v>
      </c>
      <c r="M8" s="7">
        <f>_xlfn.NORM.DIST('DATA SIAP'!J7,$C$5,$C$6, FALSE)</f>
        <v>9.5729268587055869E-2</v>
      </c>
      <c r="N8" s="7">
        <f>_xlfn.NORM.DIST('DATA SIAP'!K7,$D$5,$D$6, FALSE)</f>
        <v>0.27158357669282918</v>
      </c>
      <c r="O8" s="7">
        <f>_xlfn.NORM.DIST('DATA SIAP'!L7,$E$5,$E$6, FALSE)</f>
        <v>2.2443027469195374E-2</v>
      </c>
      <c r="T8" s="7">
        <f t="shared" si="0"/>
        <v>4.0292177126660053E-6</v>
      </c>
      <c r="U8" s="7">
        <f t="shared" si="1"/>
        <v>8.6249101169680442E-5</v>
      </c>
      <c r="W8" s="7" t="str">
        <f t="shared" si="2"/>
        <v>SEHAT</v>
      </c>
      <c r="Y8" s="16">
        <f>COUNTIFS('DATA SIAP'!T:T, 0, W:W, "SEHAT")</f>
        <v>94</v>
      </c>
      <c r="Z8" s="16">
        <f>COUNTIFS('DATA SIAP'!T:T, 0, W:W, "ANEMIA")</f>
        <v>137</v>
      </c>
      <c r="AA8" s="16">
        <f>COUNTIFS('DATA SIAP'!T:T, 1, W:W, "SEHAT")</f>
        <v>110</v>
      </c>
      <c r="AB8" s="16">
        <f>COUNTIFS('DATA SIAP'!T:T, 1, W:W, "ANEMIA")</f>
        <v>85</v>
      </c>
    </row>
    <row r="9" spans="1:28" x14ac:dyDescent="0.25">
      <c r="A9" s="4" t="s">
        <v>7</v>
      </c>
      <c r="B9" s="4" t="s">
        <v>2</v>
      </c>
      <c r="C9" s="4" t="s">
        <v>3</v>
      </c>
      <c r="D9" s="4" t="s">
        <v>4</v>
      </c>
      <c r="F9" s="13"/>
      <c r="G9" s="7">
        <f>_xlfn.NORM.DIST('DATA SIAP'!I8,$B$2,$B$3, FALSE)</f>
        <v>8.0741245945897683E-2</v>
      </c>
      <c r="H9" s="7">
        <f>_xlfn.NORM.DIST('DATA SIAP'!J8,$C$2,$C$3, FALSE)</f>
        <v>7.0095800873473543E-2</v>
      </c>
      <c r="I9" s="7">
        <f>_xlfn.NORM.DIST('DATA SIAP'!K8,$D$2,$D$3, FALSE)</f>
        <v>0.19482359643262351</v>
      </c>
      <c r="J9" s="7">
        <f>_xlfn.NORM.DIST('DATA SIAP'!L8,$E$2,$E$3, FALSE)</f>
        <v>4.1025433435419922E-2</v>
      </c>
      <c r="L9" s="7">
        <f>_xlfn.NORM.DIST('DATA SIAP'!I8,$B$5,$B$6, FALSE)</f>
        <v>0.18971286532748305</v>
      </c>
      <c r="M9" s="7">
        <f>_xlfn.NORM.DIST('DATA SIAP'!J8,$C$5,$C$6, FALSE)</f>
        <v>6.8526910025946658E-2</v>
      </c>
      <c r="N9" s="7">
        <f>_xlfn.NORM.DIST('DATA SIAP'!K8,$D$5,$D$6, FALSE)</f>
        <v>0.16449544010737174</v>
      </c>
      <c r="O9" s="7">
        <f>_xlfn.NORM.DIST('DATA SIAP'!L8,$E$5,$E$6, FALSE)</f>
        <v>3.9362533383596153E-2</v>
      </c>
      <c r="T9" s="7">
        <f t="shared" si="0"/>
        <v>2.452926663104065E-5</v>
      </c>
      <c r="U9" s="7">
        <f t="shared" si="1"/>
        <v>3.8531849080847435E-5</v>
      </c>
      <c r="W9" s="7" t="str">
        <f t="shared" si="2"/>
        <v>SEHAT</v>
      </c>
      <c r="Y9"/>
      <c r="Z9"/>
      <c r="AA9"/>
      <c r="AB9"/>
    </row>
    <row r="10" spans="1:28" x14ac:dyDescent="0.25">
      <c r="A10" s="7">
        <v>12.5</v>
      </c>
      <c r="B10" s="7">
        <v>21</v>
      </c>
      <c r="C10" s="7">
        <v>30</v>
      </c>
      <c r="D10" s="7">
        <v>88</v>
      </c>
      <c r="F10" s="13"/>
      <c r="G10" s="7">
        <f>_xlfn.NORM.DIST('DATA SIAP'!I9,$B$2,$B$3, FALSE)</f>
        <v>8.0741245945897683E-2</v>
      </c>
      <c r="H10" s="7">
        <f>_xlfn.NORM.DIST('DATA SIAP'!J9,$C$2,$C$3, FALSE)</f>
        <v>3.5974461640923015E-2</v>
      </c>
      <c r="I10" s="7">
        <f>_xlfn.NORM.DIST('DATA SIAP'!K9,$D$2,$D$3, FALSE)</f>
        <v>0.11136771953090253</v>
      </c>
      <c r="J10" s="7">
        <f>_xlfn.NORM.DIST('DATA SIAP'!L9,$E$2,$E$3, FALSE)</f>
        <v>3.3689509751029002E-2</v>
      </c>
      <c r="L10" s="7">
        <f>_xlfn.NORM.DIST('DATA SIAP'!I9,$B$5,$B$6, FALSE)</f>
        <v>0.18971286532748305</v>
      </c>
      <c r="M10" s="7">
        <f>_xlfn.NORM.DIST('DATA SIAP'!J9,$C$5,$C$6, FALSE)</f>
        <v>3.8773416867786056E-2</v>
      </c>
      <c r="N10" s="7">
        <f>_xlfn.NORM.DIST('DATA SIAP'!K9,$D$5,$D$6, FALSE)</f>
        <v>8.270172681067138E-2</v>
      </c>
      <c r="O10" s="7">
        <f>_xlfn.NORM.DIST('DATA SIAP'!L9,$E$5,$E$6, FALSE)</f>
        <v>3.1229104443319177E-2</v>
      </c>
      <c r="T10" s="7">
        <f t="shared" si="0"/>
        <v>5.9094375711120444E-6</v>
      </c>
      <c r="U10" s="7">
        <f t="shared" si="1"/>
        <v>8.6962091846140694E-6</v>
      </c>
      <c r="W10" s="7" t="str">
        <f t="shared" si="2"/>
        <v>ANEMIA</v>
      </c>
      <c r="Y10" s="17" t="s">
        <v>34</v>
      </c>
      <c r="Z10" s="17" t="s">
        <v>27</v>
      </c>
      <c r="AA10" s="17" t="s">
        <v>28</v>
      </c>
      <c r="AB10" s="17" t="s">
        <v>29</v>
      </c>
    </row>
    <row r="11" spans="1:28" x14ac:dyDescent="0.25">
      <c r="F11" s="13"/>
      <c r="G11" s="7">
        <f>_xlfn.NORM.DIST('DATA SIAP'!I10,$B$2,$B$3, FALSE)</f>
        <v>0.25947464687628563</v>
      </c>
      <c r="H11" s="7">
        <f>_xlfn.NORM.DIST('DATA SIAP'!J10,$C$2,$C$3, FALSE)</f>
        <v>2.1741521241102062E-2</v>
      </c>
      <c r="I11" s="7">
        <f>_xlfn.NORM.DIST('DATA SIAP'!K10,$D$2,$D$3, FALSE)</f>
        <v>0.27431225568526008</v>
      </c>
      <c r="J11" s="7">
        <f>_xlfn.NORM.DIST('DATA SIAP'!L10,$E$2,$E$3, FALSE)</f>
        <v>2.2362057220977592E-2</v>
      </c>
      <c r="L11" s="7">
        <f>_xlfn.NORM.DIST('DATA SIAP'!I10,$B$5,$B$6, FALSE)</f>
        <v>2.9924128759101425E-2</v>
      </c>
      <c r="M11" s="7">
        <f>_xlfn.NORM.DIST('DATA SIAP'!J10,$C$5,$C$6, FALSE)</f>
        <v>2.5057646193874638E-2</v>
      </c>
      <c r="N11" s="7">
        <f>_xlfn.NORM.DIST('DATA SIAP'!K10,$D$5,$D$6, FALSE)</f>
        <v>0.29219497405814265</v>
      </c>
      <c r="O11" s="7">
        <f>_xlfn.NORM.DIST('DATA SIAP'!L10,$E$5,$E$6, FALSE)</f>
        <v>2.4179598330061738E-2</v>
      </c>
      <c r="T11" s="7">
        <f t="shared" si="0"/>
        <v>1.87648114229639E-5</v>
      </c>
      <c r="U11" s="7">
        <f t="shared" si="1"/>
        <v>2.4249825819104519E-6</v>
      </c>
      <c r="W11" s="7" t="str">
        <f t="shared" si="2"/>
        <v>ANEMIA</v>
      </c>
      <c r="Y11" s="16">
        <f>(Y8+AB8) / COUNT('DATA SIAP'!M:M)</f>
        <v>0.42018779342723006</v>
      </c>
      <c r="Z11" s="16">
        <f xml:space="preserve"> AB8 / (AB8 + Z8)</f>
        <v>0.38288288288288286</v>
      </c>
      <c r="AA11" s="16">
        <f xml:space="preserve"> AB8 / (AB8 + AA8)</f>
        <v>0.4358974358974359</v>
      </c>
      <c r="AB11" s="16">
        <f xml:space="preserve"> 2 * (Z11 * AA11) / (Z11 + AA11)</f>
        <v>0.40767386091127095</v>
      </c>
    </row>
    <row r="12" spans="1:28" x14ac:dyDescent="0.25">
      <c r="A12" s="20" t="s">
        <v>17</v>
      </c>
      <c r="B12" s="20"/>
      <c r="C12" s="20"/>
      <c r="D12" s="20"/>
      <c r="F12" s="13"/>
      <c r="G12" s="7">
        <f>_xlfn.NORM.DIST('DATA SIAP'!I11,$B$2,$B$3, FALSE)</f>
        <v>0.30348677398303142</v>
      </c>
      <c r="H12" s="7">
        <f>_xlfn.NORM.DIST('DATA SIAP'!J11,$C$2,$C$3, FALSE)</f>
        <v>7.8191418230321164E-2</v>
      </c>
      <c r="I12" s="7">
        <f>_xlfn.NORM.DIST('DATA SIAP'!K11,$D$2,$D$3, FALSE)</f>
        <v>0.19972434609323236</v>
      </c>
      <c r="J12" s="7">
        <f>_xlfn.NORM.DIST('DATA SIAP'!L11,$E$2,$E$3, FALSE)</f>
        <v>4.1025433435419922E-2</v>
      </c>
      <c r="L12" s="7">
        <f>_xlfn.NORM.DIST('DATA SIAP'!I11,$B$5,$B$6, FALSE)</f>
        <v>5.7836964810562405E-3</v>
      </c>
      <c r="M12" s="7">
        <f>_xlfn.NORM.DIST('DATA SIAP'!J11,$C$5,$C$6, FALSE)</f>
        <v>7.5924784192097403E-2</v>
      </c>
      <c r="N12" s="7">
        <f>_xlfn.NORM.DIST('DATA SIAP'!K11,$D$5,$D$6, FALSE)</f>
        <v>0.23145932521706172</v>
      </c>
      <c r="O12" s="7">
        <f>_xlfn.NORM.DIST('DATA SIAP'!L11,$E$5,$E$6, FALSE)</f>
        <v>3.9362533383596153E-2</v>
      </c>
      <c r="T12" s="7">
        <f t="shared" si="0"/>
        <v>1.0543515149570087E-4</v>
      </c>
      <c r="U12" s="7">
        <f t="shared" si="1"/>
        <v>1.831351872661651E-6</v>
      </c>
      <c r="W12" s="7" t="str">
        <f t="shared" si="2"/>
        <v>ANEMIA</v>
      </c>
    </row>
    <row r="13" spans="1:28" x14ac:dyDescent="0.25">
      <c r="A13" s="4" t="s">
        <v>13</v>
      </c>
      <c r="B13" s="4" t="s">
        <v>14</v>
      </c>
      <c r="C13" s="4" t="s">
        <v>15</v>
      </c>
      <c r="D13" s="4" t="s">
        <v>16</v>
      </c>
      <c r="F13" s="13"/>
      <c r="G13" s="7">
        <f>_xlfn.NORM.DIST('DATA SIAP'!I12,$B$2,$B$3, FALSE)</f>
        <v>0.11410407611236259</v>
      </c>
      <c r="H13" s="7">
        <f>_xlfn.NORM.DIST('DATA SIAP'!J12,$C$2,$C$3, FALSE)</f>
        <v>5.061046720391453E-2</v>
      </c>
      <c r="I13" s="7">
        <f>_xlfn.NORM.DIST('DATA SIAP'!K12,$D$2,$D$3, FALSE)</f>
        <v>0.26561722062877446</v>
      </c>
      <c r="J13" s="7">
        <f>_xlfn.NORM.DIST('DATA SIAP'!L12,$E$2,$E$3, FALSE)</f>
        <v>4.2104064184235922E-2</v>
      </c>
      <c r="L13" s="7">
        <f>_xlfn.NORM.DIST('DATA SIAP'!I12,$B$5,$B$6, FALSE)</f>
        <v>0.14260257889943467</v>
      </c>
      <c r="M13" s="7">
        <f>_xlfn.NORM.DIST('DATA SIAP'!J12,$C$5,$C$6, FALSE)</f>
        <v>5.1549117452228205E-2</v>
      </c>
      <c r="N13" s="7">
        <f>_xlfn.NORM.DIST('DATA SIAP'!K12,$D$5,$D$6, FALSE)</f>
        <v>0.25087690118257733</v>
      </c>
      <c r="O13" s="7">
        <f>_xlfn.NORM.DIST('DATA SIAP'!L12,$E$5,$E$6, FALSE)</f>
        <v>3.9076278948143646E-2</v>
      </c>
      <c r="T13" s="7">
        <f t="shared" si="0"/>
        <v>3.5020644409294935E-5</v>
      </c>
      <c r="U13" s="7">
        <f t="shared" si="1"/>
        <v>3.2987355743309967E-5</v>
      </c>
      <c r="W13" s="7" t="str">
        <f t="shared" si="2"/>
        <v>ANEMIA</v>
      </c>
    </row>
    <row r="14" spans="1:28" x14ac:dyDescent="0.25">
      <c r="A14" s="7">
        <f>_xlfn.NORM.DIST(A10, B2, B3, FALSE)</f>
        <v>6.2282131541449362E-2</v>
      </c>
      <c r="B14" s="7">
        <f>_xlfn.NORM.DIST(B10, C2, C3, FALSE)</f>
        <v>9.1816753811162916E-2</v>
      </c>
      <c r="C14" s="7">
        <f>_xlfn.NORM.DIST(C10, D2, D3, FALSE)</f>
        <v>0.28351038637612513</v>
      </c>
      <c r="D14" s="7">
        <f>_xlfn.NORM.DIST(D10, E2, E3, FALSE)</f>
        <v>4.1898605499584012E-2</v>
      </c>
      <c r="F14" s="13"/>
      <c r="G14" s="7">
        <f>_xlfn.NORM.DIST('DATA SIAP'!I13,$B$2,$B$3, FALSE)</f>
        <v>0.11112255931408969</v>
      </c>
      <c r="H14" s="7">
        <f>_xlfn.NORM.DIST('DATA SIAP'!J13,$C$2,$C$3, FALSE)</f>
        <v>5.0802020562053983E-2</v>
      </c>
      <c r="I14" s="7">
        <f>_xlfn.NORM.DIST('DATA SIAP'!K13,$D$2,$D$3, FALSE)</f>
        <v>0.11136771953090253</v>
      </c>
      <c r="J14" s="7">
        <f>_xlfn.NORM.DIST('DATA SIAP'!L13,$E$2,$E$3, FALSE)</f>
        <v>3.1857323694058311E-2</v>
      </c>
      <c r="L14" s="7">
        <f>_xlfn.NORM.DIST('DATA SIAP'!I13,$B$5,$B$6, FALSE)</f>
        <v>2.9974745226935406E-5</v>
      </c>
      <c r="M14" s="7">
        <f>_xlfn.NORM.DIST('DATA SIAP'!J13,$C$5,$C$6, FALSE)</f>
        <v>5.2285205611031955E-2</v>
      </c>
      <c r="N14" s="7">
        <f>_xlfn.NORM.DIST('DATA SIAP'!K13,$D$5,$D$6, FALSE)</f>
        <v>8.270172681067138E-2</v>
      </c>
      <c r="O14" s="7">
        <f>_xlfn.NORM.DIST('DATA SIAP'!L13,$E$5,$E$6, FALSE)</f>
        <v>2.9599791429928198E-2</v>
      </c>
      <c r="T14" s="7">
        <f t="shared" si="0"/>
        <v>1.0860609959819933E-5</v>
      </c>
      <c r="U14" s="7">
        <f t="shared" si="1"/>
        <v>1.7561538556490575E-9</v>
      </c>
      <c r="W14" s="7" t="str">
        <f t="shared" si="2"/>
        <v>ANEMIA</v>
      </c>
    </row>
    <row r="15" spans="1:28" x14ac:dyDescent="0.25">
      <c r="A15" s="7">
        <f>_xlfn.NORM.DIST(A10, B5, B6, FALSE)</f>
        <v>0.22193547602789976</v>
      </c>
      <c r="B15" s="7">
        <f t="shared" ref="B15:D15" si="3">_xlfn.NORM.DIST(B10, C5, C6, FALSE)</f>
        <v>8.6813904335611564E-2</v>
      </c>
      <c r="C15" s="7">
        <f t="shared" si="3"/>
        <v>0.2834167413939313</v>
      </c>
      <c r="D15" s="7">
        <f t="shared" si="3"/>
        <v>3.8860329688391593E-2</v>
      </c>
      <c r="F15" s="13"/>
      <c r="G15" s="7">
        <f>_xlfn.NORM.DIST('DATA SIAP'!I14,$B$2,$B$3, FALSE)</f>
        <v>0.16684373170249162</v>
      </c>
      <c r="H15" s="7">
        <f>_xlfn.NORM.DIST('DATA SIAP'!J14,$C$2,$C$3, FALSE)</f>
        <v>8.6886905785492186E-2</v>
      </c>
      <c r="I15" s="7">
        <f>_xlfn.NORM.DIST('DATA SIAP'!K14,$D$2,$D$3, FALSE)</f>
        <v>0.28409794666229643</v>
      </c>
      <c r="J15" s="7">
        <f>_xlfn.NORM.DIST('DATA SIAP'!L14,$E$2,$E$3, FALSE)</f>
        <v>2.377636026072983E-2</v>
      </c>
      <c r="L15" s="7">
        <f>_xlfn.NORM.DIST('DATA SIAP'!I14,$B$5,$B$6, FALSE)</f>
        <v>8.8754245198698567E-2</v>
      </c>
      <c r="M15" s="7">
        <f>_xlfn.NORM.DIST('DATA SIAP'!J14,$C$5,$C$6, FALSE)</f>
        <v>8.3157979511717661E-2</v>
      </c>
      <c r="N15" s="7">
        <f>_xlfn.NORM.DIST('DATA SIAP'!K14,$D$5,$D$6, FALSE)</f>
        <v>0.29159869003801719</v>
      </c>
      <c r="O15" s="7">
        <f>_xlfn.NORM.DIST('DATA SIAP'!L14,$E$5,$E$6, FALSE)</f>
        <v>2.2468365850495532E-2</v>
      </c>
      <c r="T15" s="7">
        <f t="shared" si="0"/>
        <v>5.3098233689865228E-5</v>
      </c>
      <c r="U15" s="7">
        <f t="shared" si="1"/>
        <v>2.2134776003751781E-5</v>
      </c>
      <c r="W15" s="7" t="str">
        <f t="shared" si="2"/>
        <v>ANEMIA</v>
      </c>
    </row>
    <row r="16" spans="1:28" x14ac:dyDescent="0.25">
      <c r="F16" s="13"/>
      <c r="G16" s="7">
        <f>_xlfn.NORM.DIST('DATA SIAP'!I15,$B$2,$B$3, FALSE)</f>
        <v>0.30216375232280629</v>
      </c>
      <c r="H16" s="7">
        <f>_xlfn.NORM.DIST('DATA SIAP'!J15,$C$2,$C$3, FALSE)</f>
        <v>3.0746859758606828E-2</v>
      </c>
      <c r="I16" s="7">
        <f>_xlfn.NORM.DIST('DATA SIAP'!K15,$D$2,$D$3, FALSE)</f>
        <v>0.23371301560207772</v>
      </c>
      <c r="J16" s="7">
        <f>_xlfn.NORM.DIST('DATA SIAP'!L15,$E$2,$E$3, FALSE)</f>
        <v>9.6704989457077634E-3</v>
      </c>
      <c r="L16" s="7">
        <f>_xlfn.NORM.DIST('DATA SIAP'!I15,$B$5,$B$6, FALSE)</f>
        <v>9.0798586436414176E-3</v>
      </c>
      <c r="M16" s="7">
        <f>_xlfn.NORM.DIST('DATA SIAP'!J15,$C$5,$C$6, FALSE)</f>
        <v>3.3840026851190669E-2</v>
      </c>
      <c r="N16" s="7">
        <f>_xlfn.NORM.DIST('DATA SIAP'!K15,$D$5,$D$6, FALSE)</f>
        <v>0.26307336761375211</v>
      </c>
      <c r="O16" s="7">
        <f>_xlfn.NORM.DIST('DATA SIAP'!L15,$E$5,$E$6, FALSE)</f>
        <v>1.194236375108941E-2</v>
      </c>
      <c r="T16" s="7">
        <f t="shared" si="0"/>
        <v>1.138616030263929E-5</v>
      </c>
      <c r="U16" s="7">
        <f t="shared" si="1"/>
        <v>4.4187759140322472E-7</v>
      </c>
      <c r="W16" s="7" t="str">
        <f t="shared" si="2"/>
        <v>ANEMIA</v>
      </c>
    </row>
    <row r="17" spans="1:23" x14ac:dyDescent="0.25">
      <c r="A17" s="20" t="s">
        <v>18</v>
      </c>
      <c r="B17" s="20"/>
      <c r="F17" s="13"/>
      <c r="G17" s="7">
        <f>_xlfn.NORM.DIST('DATA SIAP'!I16,$B$2,$B$3, FALSE)</f>
        <v>0.21902250053629846</v>
      </c>
      <c r="H17" s="7">
        <f>_xlfn.NORM.DIST('DATA SIAP'!J16,$C$2,$C$3, FALSE)</f>
        <v>9.7226722749690922E-2</v>
      </c>
      <c r="I17" s="7">
        <f>_xlfn.NORM.DIST('DATA SIAP'!K16,$D$2,$D$3, FALSE)</f>
        <v>0.17033125385914347</v>
      </c>
      <c r="J17" s="7">
        <f>_xlfn.NORM.DIST('DATA SIAP'!L16,$E$2,$E$3, FALSE)</f>
        <v>3.5662260423964476E-2</v>
      </c>
      <c r="L17" s="7">
        <f>_xlfn.NORM.DIST('DATA SIAP'!I16,$B$5,$B$6, FALSE)</f>
        <v>4.061080910159737E-4</v>
      </c>
      <c r="M17" s="7">
        <f>_xlfn.NORM.DIST('DATA SIAP'!J16,$C$5,$C$6, FALSE)</f>
        <v>9.1603180839353024E-2</v>
      </c>
      <c r="N17" s="7">
        <f>_xlfn.NORM.DIST('DATA SIAP'!K16,$D$5,$D$6, FALSE)</f>
        <v>0.13886633480617</v>
      </c>
      <c r="O17" s="7">
        <f>_xlfn.NORM.DIST('DATA SIAP'!L16,$E$5,$E$6, FALSE)</f>
        <v>3.2997086728271521E-2</v>
      </c>
      <c r="T17" s="7">
        <f t="shared" si="0"/>
        <v>7.0142294963945853E-5</v>
      </c>
      <c r="U17" s="7">
        <f t="shared" si="1"/>
        <v>7.8027875098983766E-8</v>
      </c>
      <c r="W17" s="7" t="str">
        <f t="shared" si="2"/>
        <v>ANEMIA</v>
      </c>
    </row>
    <row r="18" spans="1:23" x14ac:dyDescent="0.25">
      <c r="A18" s="4" t="s">
        <v>20</v>
      </c>
      <c r="B18" s="7">
        <f>COUNTIF('DATA SIAP'!F:F, 0) / COUNT('DATA SIAP'!F:F)</f>
        <v>0.53745318352059923</v>
      </c>
      <c r="F18" s="13"/>
      <c r="G18" s="7">
        <f>_xlfn.NORM.DIST('DATA SIAP'!I17,$B$2,$B$3, FALSE)</f>
        <v>0.24788712488480244</v>
      </c>
      <c r="H18" s="7">
        <f>_xlfn.NORM.DIST('DATA SIAP'!J17,$C$2,$C$3, FALSE)</f>
        <v>8.2676258402150635E-2</v>
      </c>
      <c r="I18" s="7">
        <f>_xlfn.NORM.DIST('DATA SIAP'!K17,$D$2,$D$3, FALSE)</f>
        <v>0.11583575279547854</v>
      </c>
      <c r="J18" s="7">
        <f>_xlfn.NORM.DIST('DATA SIAP'!L17,$E$2,$E$3, FALSE)</f>
        <v>3.887231974283225E-2</v>
      </c>
      <c r="L18" s="7">
        <f>_xlfn.NORM.DIST('DATA SIAP'!I17,$B$5,$B$6, FALSE)</f>
        <v>3.566020423226382E-2</v>
      </c>
      <c r="M18" s="7">
        <f>_xlfn.NORM.DIST('DATA SIAP'!J17,$C$5,$C$6, FALSE)</f>
        <v>7.9670096278473143E-2</v>
      </c>
      <c r="N18" s="7">
        <f>_xlfn.NORM.DIST('DATA SIAP'!K17,$D$5,$D$6, FALSE)</f>
        <v>0.14202208186540324</v>
      </c>
      <c r="O18" s="7">
        <f>_xlfn.NORM.DIST('DATA SIAP'!L17,$E$5,$E$6, FALSE)</f>
        <v>3.7838035101675764E-2</v>
      </c>
      <c r="T18" s="7">
        <f t="shared" si="0"/>
        <v>5.0040339654604703E-5</v>
      </c>
      <c r="U18" s="7">
        <f t="shared" si="1"/>
        <v>6.9885750067485887E-6</v>
      </c>
      <c r="W18" s="7" t="str">
        <f t="shared" si="2"/>
        <v>ANEMIA</v>
      </c>
    </row>
    <row r="19" spans="1:23" x14ac:dyDescent="0.25">
      <c r="A19" s="4" t="s">
        <v>19</v>
      </c>
      <c r="B19" s="7">
        <f>COUNTIF('DATA SIAP'!F:F, 1) / COUNT('DATA SIAP'!F:F)</f>
        <v>0.46254681647940077</v>
      </c>
      <c r="F19" s="13"/>
      <c r="G19" s="7">
        <f>_xlfn.NORM.DIST('DATA SIAP'!I18,$B$2,$B$3, FALSE)</f>
        <v>0.21902250053629846</v>
      </c>
      <c r="H19" s="7">
        <f>_xlfn.NORM.DIST('DATA SIAP'!J18,$C$2,$C$3, FALSE)</f>
        <v>9.9716342384519555E-2</v>
      </c>
      <c r="I19" s="7">
        <f>_xlfn.NORM.DIST('DATA SIAP'!K18,$D$2,$D$3, FALSE)</f>
        <v>8.1193976727337386E-2</v>
      </c>
      <c r="J19" s="7">
        <f>_xlfn.NORM.DIST('DATA SIAP'!L18,$E$2,$E$3, FALSE)</f>
        <v>4.1995640306042137E-2</v>
      </c>
      <c r="L19" s="7">
        <f>_xlfn.NORM.DIST('DATA SIAP'!I18,$B$5,$B$6, FALSE)</f>
        <v>4.061080910159737E-4</v>
      </c>
      <c r="M19" s="7">
        <f>_xlfn.NORM.DIST('DATA SIAP'!J18,$C$5,$C$6, FALSE)</f>
        <v>9.3606581422587057E-2</v>
      </c>
      <c r="N19" s="7">
        <f>_xlfn.NORM.DIST('DATA SIAP'!K18,$D$5,$D$6, FALSE)</f>
        <v>5.6783277125935824E-2</v>
      </c>
      <c r="O19" s="7">
        <f>_xlfn.NORM.DIST('DATA SIAP'!L18,$E$5,$E$6, FALSE)</f>
        <v>3.9984228905697201E-2</v>
      </c>
      <c r="T19" s="7">
        <f t="shared" si="0"/>
        <v>4.0381781446777918E-5</v>
      </c>
      <c r="U19" s="7">
        <f t="shared" si="1"/>
        <v>3.9507742781104332E-8</v>
      </c>
      <c r="W19" s="7" t="str">
        <f t="shared" si="2"/>
        <v>SEHAT</v>
      </c>
    </row>
    <row r="20" spans="1:23" x14ac:dyDescent="0.25">
      <c r="F20" s="13"/>
      <c r="G20" s="7">
        <f>_xlfn.NORM.DIST('DATA SIAP'!I19,$B$2,$B$3, FALSE)</f>
        <v>4.6941354546412226E-2</v>
      </c>
      <c r="H20" s="7">
        <f>_xlfn.NORM.DIST('DATA SIAP'!J19,$C$2,$C$3, FALSE)</f>
        <v>9.9626302715364698E-2</v>
      </c>
      <c r="I20" s="7">
        <f>_xlfn.NORM.DIST('DATA SIAP'!K19,$D$2,$D$3, FALSE)</f>
        <v>7.2336844110314991E-2</v>
      </c>
      <c r="J20" s="7">
        <f>_xlfn.NORM.DIST('DATA SIAP'!L19,$E$2,$E$3, FALSE)</f>
        <v>2.993152182376798E-2</v>
      </c>
      <c r="L20" s="7">
        <f>_xlfn.NORM.DIST('DATA SIAP'!I19,$B$5,$B$6, FALSE)</f>
        <v>0.25278052747242452</v>
      </c>
      <c r="M20" s="7">
        <f>_xlfn.NORM.DIST('DATA SIAP'!J19,$C$5,$C$6, FALSE)</f>
        <v>9.3289747714858401E-2</v>
      </c>
      <c r="N20" s="7">
        <f>_xlfn.NORM.DIST('DATA SIAP'!K19,$D$5,$D$6, FALSE)</f>
        <v>4.9554332509160672E-2</v>
      </c>
      <c r="O20" s="7">
        <f>_xlfn.NORM.DIST('DATA SIAP'!L19,$E$5,$E$6, FALSE)</f>
        <v>3.0746780377143922E-2</v>
      </c>
      <c r="T20" s="7">
        <f t="shared" si="0"/>
        <v>5.4906071035804857E-6</v>
      </c>
      <c r="U20" s="7">
        <f t="shared" si="1"/>
        <v>1.6446891331599086E-5</v>
      </c>
      <c r="W20" s="7" t="str">
        <f t="shared" si="2"/>
        <v>ANEMIA</v>
      </c>
    </row>
    <row r="21" spans="1:23" x14ac:dyDescent="0.25">
      <c r="A21" s="20" t="s">
        <v>21</v>
      </c>
      <c r="B21" s="20"/>
      <c r="F21" s="13"/>
      <c r="G21" s="7">
        <f>_xlfn.NORM.DIST('DATA SIAP'!I20,$B$2,$B$3, FALSE)</f>
        <v>0.27720518307710384</v>
      </c>
      <c r="H21" s="7">
        <f>_xlfn.NORM.DIST('DATA SIAP'!J20,$C$2,$C$3, FALSE)</f>
        <v>9.4222960991883833E-2</v>
      </c>
      <c r="I21" s="7">
        <f>_xlfn.NORM.DIST('DATA SIAP'!K20,$D$2,$D$3, FALSE)</f>
        <v>0.28452688244841479</v>
      </c>
      <c r="J21" s="7">
        <f>_xlfn.NORM.DIST('DATA SIAP'!L20,$E$2,$E$3, FALSE)</f>
        <v>2.8282638572509202E-2</v>
      </c>
      <c r="L21" s="7">
        <f>_xlfn.NORM.DIST('DATA SIAP'!I20,$B$5,$B$6, FALSE)</f>
        <v>1.666151072771268E-3</v>
      </c>
      <c r="M21" s="7">
        <f>_xlfn.NORM.DIST('DATA SIAP'!J20,$C$5,$C$6, FALSE)</f>
        <v>8.9168515191160105E-2</v>
      </c>
      <c r="N21" s="7">
        <f>_xlfn.NORM.DIST('DATA SIAP'!K20,$D$5,$D$6, FALSE)</f>
        <v>0.28825868193721221</v>
      </c>
      <c r="O21" s="7">
        <f>_xlfn.NORM.DIST('DATA SIAP'!L20,$E$5,$E$6, FALSE)</f>
        <v>2.6440296537881335E-2</v>
      </c>
      <c r="T21" s="7">
        <f t="shared" si="0"/>
        <v>1.1397345246776479E-4</v>
      </c>
      <c r="U21" s="7">
        <f t="shared" si="1"/>
        <v>5.1832199962854868E-7</v>
      </c>
      <c r="W21" s="7" t="str">
        <f t="shared" si="2"/>
        <v>ANEMIA</v>
      </c>
    </row>
    <row r="22" spans="1:23" x14ac:dyDescent="0.25">
      <c r="A22" s="4" t="s">
        <v>22</v>
      </c>
      <c r="B22" s="7">
        <f xml:space="preserve"> B18 * A14 * B14 * C14 * D14</f>
        <v>3.6508549944082999E-5</v>
      </c>
      <c r="F22" s="13"/>
      <c r="G22" s="7">
        <f>_xlfn.NORM.DIST('DATA SIAP'!I21,$B$2,$B$3, FALSE)</f>
        <v>0.19485002111918609</v>
      </c>
      <c r="H22" s="7">
        <f>_xlfn.NORM.DIST('DATA SIAP'!J21,$C$2,$C$3, FALSE)</f>
        <v>6.6843499297558159E-2</v>
      </c>
      <c r="I22" s="7">
        <f>_xlfn.NORM.DIST('DATA SIAP'!K21,$D$2,$D$3, FALSE)</f>
        <v>0.18761229391009854</v>
      </c>
      <c r="J22" s="7">
        <f>_xlfn.NORM.DIST('DATA SIAP'!L21,$E$2,$E$3, FALSE)</f>
        <v>3.2632391932211145E-2</v>
      </c>
      <c r="L22" s="7">
        <f>_xlfn.NORM.DIST('DATA SIAP'!I21,$B$5,$B$6, FALSE)</f>
        <v>6.7266746752881246E-2</v>
      </c>
      <c r="M22" s="7">
        <f>_xlfn.NORM.DIST('DATA SIAP'!J21,$C$5,$C$6, FALSE)</f>
        <v>6.5737562361085577E-2</v>
      </c>
      <c r="N22" s="7">
        <f>_xlfn.NORM.DIST('DATA SIAP'!K21,$D$5,$D$6, FALSE)</f>
        <v>0.21939825426614995</v>
      </c>
      <c r="O22" s="7">
        <f>_xlfn.NORM.DIST('DATA SIAP'!L21,$E$5,$E$6, FALSE)</f>
        <v>3.2975171777850483E-2</v>
      </c>
      <c r="T22" s="7">
        <f t="shared" si="0"/>
        <v>4.3238659105107557E-5</v>
      </c>
      <c r="U22" s="7">
        <f t="shared" si="1"/>
        <v>1.4643984701926988E-5</v>
      </c>
      <c r="W22" s="7" t="str">
        <f t="shared" si="2"/>
        <v>ANEMIA</v>
      </c>
    </row>
    <row r="23" spans="1:23" x14ac:dyDescent="0.25">
      <c r="A23" s="4" t="s">
        <v>23</v>
      </c>
      <c r="B23" s="7">
        <f xml:space="preserve"> B19 * A15 * B15 * C15 * D15</f>
        <v>9.8153026396083744E-5</v>
      </c>
      <c r="F23" s="13"/>
      <c r="G23" s="7">
        <f>_xlfn.NORM.DIST('DATA SIAP'!I22,$B$2,$B$3, FALSE)</f>
        <v>0.13632881677636685</v>
      </c>
      <c r="H23" s="7">
        <f>_xlfn.NORM.DIST('DATA SIAP'!J22,$C$2,$C$3, FALSE)</f>
        <v>6.6843499297558159E-2</v>
      </c>
      <c r="I23" s="7">
        <f>_xlfn.NORM.DIST('DATA SIAP'!K22,$D$2,$D$3, FALSE)</f>
        <v>0.22939862492988175</v>
      </c>
      <c r="J23" s="7">
        <f>_xlfn.NORM.DIST('DATA SIAP'!L22,$E$2,$E$3, FALSE)</f>
        <v>9.491030787571476E-3</v>
      </c>
      <c r="L23" s="7">
        <f>_xlfn.NORM.DIST('DATA SIAP'!I22,$B$5,$B$6, FALSE)</f>
        <v>5.9861366178646597E-5</v>
      </c>
      <c r="M23" s="7">
        <f>_xlfn.NORM.DIST('DATA SIAP'!J22,$C$5,$C$6, FALSE)</f>
        <v>6.5737562361085577E-2</v>
      </c>
      <c r="N23" s="7">
        <f>_xlfn.NORM.DIST('DATA SIAP'!K22,$D$5,$D$6, FALSE)</f>
        <v>0.20362742527633393</v>
      </c>
      <c r="O23" s="7">
        <f>_xlfn.NORM.DIST('DATA SIAP'!L22,$E$5,$E$6, FALSE)</f>
        <v>1.1754089880511473E-2</v>
      </c>
      <c r="T23" s="7">
        <f t="shared" si="0"/>
        <v>1.0758541912101687E-5</v>
      </c>
      <c r="U23" s="7">
        <f t="shared" si="1"/>
        <v>4.3113224899416293E-9</v>
      </c>
      <c r="W23" s="7" t="str">
        <f t="shared" si="2"/>
        <v>ANEMIA</v>
      </c>
    </row>
    <row r="24" spans="1:23" x14ac:dyDescent="0.25">
      <c r="F24" s="13"/>
      <c r="G24" s="7">
        <f>_xlfn.NORM.DIST('DATA SIAP'!I23,$B$2,$B$3, FALSE)</f>
        <v>0.17736729937969981</v>
      </c>
      <c r="H24" s="7">
        <f>_xlfn.NORM.DIST('DATA SIAP'!J23,$C$2,$C$3, FALSE)</f>
        <v>3.4463098450627262E-2</v>
      </c>
      <c r="I24" s="7">
        <f>_xlfn.NORM.DIST('DATA SIAP'!K23,$D$2,$D$3, FALSE)</f>
        <v>9.470219971360351E-2</v>
      </c>
      <c r="J24" s="7">
        <f>_xlfn.NORM.DIST('DATA SIAP'!L23,$E$2,$E$3, FALSE)</f>
        <v>3.1298412176428786E-2</v>
      </c>
      <c r="L24" s="7">
        <f>_xlfn.NORM.DIST('DATA SIAP'!I23,$B$5,$B$6, FALSE)</f>
        <v>1.6067889059008145E-4</v>
      </c>
      <c r="M24" s="7">
        <f>_xlfn.NORM.DIST('DATA SIAP'!J23,$C$5,$C$6, FALSE)</f>
        <v>3.6856326228647367E-2</v>
      </c>
      <c r="N24" s="7">
        <f>_xlfn.NORM.DIST('DATA SIAP'!K23,$D$5,$D$6, FALSE)</f>
        <v>0.1176432423163154</v>
      </c>
      <c r="O24" s="7">
        <f>_xlfn.NORM.DIST('DATA SIAP'!L23,$E$5,$E$6, FALSE)</f>
        <v>3.1882438271472101E-2</v>
      </c>
      <c r="T24" s="7">
        <f t="shared" si="0"/>
        <v>9.824549096064947E-6</v>
      </c>
      <c r="U24" s="7">
        <f t="shared" si="1"/>
        <v>1.0167504961777243E-8</v>
      </c>
      <c r="W24" s="7" t="str">
        <f t="shared" si="2"/>
        <v>SEHAT</v>
      </c>
    </row>
    <row r="25" spans="1:23" x14ac:dyDescent="0.25">
      <c r="A25" s="20" t="s">
        <v>24</v>
      </c>
      <c r="B25" s="20"/>
      <c r="F25" s="13"/>
      <c r="G25" s="7">
        <f>_xlfn.NORM.DIST('DATA SIAP'!I24,$B$2,$B$3, FALSE)</f>
        <v>3.5242331237465096E-9</v>
      </c>
      <c r="H25" s="7">
        <f>_xlfn.NORM.DIST('DATA SIAP'!J24,$C$2,$C$3, FALSE)</f>
        <v>4.1637046730842078E-2</v>
      </c>
      <c r="I25" s="7">
        <f>_xlfn.NORM.DIST('DATA SIAP'!K24,$D$2,$D$3, FALSE)</f>
        <v>6.7385222064391778E-2</v>
      </c>
      <c r="J25" s="7">
        <f>_xlfn.NORM.DIST('DATA SIAP'!L24,$E$2,$E$3, FALSE)</f>
        <v>2.7439448646940881E-2</v>
      </c>
      <c r="L25" s="7">
        <f>_xlfn.NORM.DIST('DATA SIAP'!I24,$B$5,$B$6, FALSE)</f>
        <v>3.45910136499617E-4</v>
      </c>
      <c r="M25" s="7">
        <f>_xlfn.NORM.DIST('DATA SIAP'!J24,$C$5,$C$6, FALSE)</f>
        <v>4.4009140975046282E-2</v>
      </c>
      <c r="N25" s="7">
        <f>_xlfn.NORM.DIST('DATA SIAP'!K24,$D$5,$D$6, FALSE)</f>
        <v>8.5159033170030513E-2</v>
      </c>
      <c r="O25" s="7">
        <f>_xlfn.NORM.DIST('DATA SIAP'!L24,$E$5,$E$6, FALSE)</f>
        <v>2.5696962302378931E-2</v>
      </c>
      <c r="T25" s="7">
        <f t="shared" si="0"/>
        <v>1.4712516807666709E-13</v>
      </c>
      <c r="U25" s="7">
        <f t="shared" si="1"/>
        <v>1.5249082079819911E-8</v>
      </c>
      <c r="W25" s="7" t="str">
        <f t="shared" si="2"/>
        <v>SEHAT</v>
      </c>
    </row>
    <row r="26" spans="1:23" x14ac:dyDescent="0.25">
      <c r="A26" s="21" t="str">
        <f>IF(B22 &gt; B23, "POSITIF ANEMIA", "SEHAT")</f>
        <v>SEHAT</v>
      </c>
      <c r="B26" s="22"/>
      <c r="F26" s="13"/>
      <c r="G26" s="7">
        <f>_xlfn.NORM.DIST('DATA SIAP'!I25,$B$2,$B$3, FALSE)</f>
        <v>2.0914816537887824E-2</v>
      </c>
      <c r="H26" s="7">
        <f>_xlfn.NORM.DIST('DATA SIAP'!J25,$C$2,$C$3, FALSE)</f>
        <v>2.3677134848570851E-2</v>
      </c>
      <c r="I26" s="7">
        <f>_xlfn.NORM.DIST('DATA SIAP'!K25,$D$2,$D$3, FALSE)</f>
        <v>0.24378919066312044</v>
      </c>
      <c r="J26" s="7">
        <f>_xlfn.NORM.DIST('DATA SIAP'!L25,$E$2,$E$3, FALSE)</f>
        <v>3.2103345727641522E-2</v>
      </c>
      <c r="L26" s="7">
        <f>_xlfn.NORM.DIST('DATA SIAP'!I25,$B$5,$B$6, FALSE)</f>
        <v>0.31133554004162617</v>
      </c>
      <c r="M26" s="7">
        <f>_xlfn.NORM.DIST('DATA SIAP'!J25,$C$5,$C$6, FALSE)</f>
        <v>2.6562169372716077E-2</v>
      </c>
      <c r="N26" s="7">
        <f>_xlfn.NORM.DIST('DATA SIAP'!K25,$D$5,$D$6, FALSE)</f>
        <v>0.27158357669282918</v>
      </c>
      <c r="O26" s="7">
        <f>_xlfn.NORM.DIST('DATA SIAP'!L25,$E$5,$E$6, FALSE)</f>
        <v>3.2543691331192372E-2</v>
      </c>
      <c r="T26" s="7">
        <f t="shared" si="0"/>
        <v>2.1016013034655976E-6</v>
      </c>
      <c r="U26" s="7">
        <f t="shared" si="1"/>
        <v>3.3457044139778104E-5</v>
      </c>
      <c r="W26" s="7" t="str">
        <f t="shared" si="2"/>
        <v>SEHAT</v>
      </c>
    </row>
    <row r="27" spans="1:23" x14ac:dyDescent="0.25">
      <c r="A27" s="13"/>
      <c r="B27" s="13"/>
      <c r="C27" s="13"/>
      <c r="D27" s="13"/>
      <c r="E27" s="13"/>
      <c r="F27" s="13"/>
      <c r="G27" s="7">
        <f>_xlfn.NORM.DIST('DATA SIAP'!I26,$B$2,$B$3, FALSE)</f>
        <v>4.2433147805415582E-3</v>
      </c>
      <c r="H27" s="7">
        <f>_xlfn.NORM.DIST('DATA SIAP'!J26,$C$2,$C$3, FALSE)</f>
        <v>7.5082728952878042E-2</v>
      </c>
      <c r="I27" s="7">
        <f>_xlfn.NORM.DIST('DATA SIAP'!K26,$D$2,$D$3, FALSE)</f>
        <v>9.470219971360351E-2</v>
      </c>
      <c r="J27" s="7">
        <f>_xlfn.NORM.DIST('DATA SIAP'!L26,$E$2,$E$3, FALSE)</f>
        <v>1.5843514724916536E-2</v>
      </c>
      <c r="L27" s="7">
        <f>_xlfn.NORM.DIST('DATA SIAP'!I26,$B$5,$B$6, FALSE)</f>
        <v>0.30692698152080589</v>
      </c>
      <c r="M27" s="7">
        <f>_xlfn.NORM.DIST('DATA SIAP'!J26,$C$5,$C$6, FALSE)</f>
        <v>7.3309934717952496E-2</v>
      </c>
      <c r="N27" s="7">
        <f>_xlfn.NORM.DIST('DATA SIAP'!K26,$D$5,$D$6, FALSE)</f>
        <v>0.1176432423163154</v>
      </c>
      <c r="O27" s="7">
        <f>_xlfn.NORM.DIST('DATA SIAP'!L26,$E$5,$E$6, FALSE)</f>
        <v>1.5424376338414812E-2</v>
      </c>
      <c r="T27" s="7">
        <f t="shared" si="0"/>
        <v>2.592144922550359E-7</v>
      </c>
      <c r="U27" s="7">
        <f t="shared" si="1"/>
        <v>1.8689492637794592E-5</v>
      </c>
      <c r="W27" s="7" t="str">
        <f t="shared" si="2"/>
        <v>SEHAT</v>
      </c>
    </row>
    <row r="28" spans="1:23" x14ac:dyDescent="0.25">
      <c r="G28" s="7">
        <f>_xlfn.NORM.DIST('DATA SIAP'!I27,$B$2,$B$3, FALSE)</f>
        <v>4.2433147805415582E-3</v>
      </c>
      <c r="H28" s="7">
        <f>_xlfn.NORM.DIST('DATA SIAP'!J27,$C$2,$C$3, FALSE)</f>
        <v>8.6886905785492186E-2</v>
      </c>
      <c r="I28" s="7">
        <f>_xlfn.NORM.DIST('DATA SIAP'!K27,$D$2,$D$3, FALSE)</f>
        <v>0.24378919066312044</v>
      </c>
      <c r="J28" s="7">
        <f>_xlfn.NORM.DIST('DATA SIAP'!L27,$E$2,$E$3, FALSE)</f>
        <v>4.1422841334778929E-2</v>
      </c>
      <c r="L28" s="7">
        <f>_xlfn.NORM.DIST('DATA SIAP'!I27,$B$5,$B$6, FALSE)</f>
        <v>0.30692698152080589</v>
      </c>
      <c r="M28" s="7">
        <f>_xlfn.NORM.DIST('DATA SIAP'!J27,$C$5,$C$6, FALSE)</f>
        <v>8.3157979511717661E-2</v>
      </c>
      <c r="N28" s="7">
        <f>_xlfn.NORM.DIST('DATA SIAP'!K27,$D$5,$D$6, FALSE)</f>
        <v>0.27158357669282918</v>
      </c>
      <c r="O28" s="7">
        <f>_xlfn.NORM.DIST('DATA SIAP'!L27,$E$5,$E$6, FALSE)</f>
        <v>3.9625073058055245E-2</v>
      </c>
      <c r="T28" s="7">
        <f t="shared" si="0"/>
        <v>2.0189069041340001E-6</v>
      </c>
      <c r="U28" s="7">
        <f t="shared" si="1"/>
        <v>1.2572961591683833E-4</v>
      </c>
      <c r="W28" s="7" t="str">
        <f t="shared" si="2"/>
        <v>SEHAT</v>
      </c>
    </row>
    <row r="29" spans="1:23" x14ac:dyDescent="0.25">
      <c r="G29" s="7">
        <f>_xlfn.NORM.DIST('DATA SIAP'!I28,$B$2,$B$3, FALSE)</f>
        <v>2.1201250670888029E-3</v>
      </c>
      <c r="H29" s="7">
        <f>_xlfn.NORM.DIST('DATA SIAP'!J28,$C$2,$C$3, FALSE)</f>
        <v>9.5153178986108602E-2</v>
      </c>
      <c r="I29" s="7">
        <f>_xlfn.NORM.DIST('DATA SIAP'!K28,$D$2,$D$3, FALSE)</f>
        <v>0.21834869514136626</v>
      </c>
      <c r="J29" s="7">
        <f>_xlfn.NORM.DIST('DATA SIAP'!L28,$E$2,$E$3, FALSE)</f>
        <v>3.2103345727641522E-2</v>
      </c>
      <c r="L29" s="7">
        <f>_xlfn.NORM.DIST('DATA SIAP'!I28,$B$5,$B$6, FALSE)</f>
        <v>0.27340634464238739</v>
      </c>
      <c r="M29" s="7">
        <f>_xlfn.NORM.DIST('DATA SIAP'!J28,$C$5,$C$6, FALSE)</f>
        <v>8.9582947768660035E-2</v>
      </c>
      <c r="N29" s="7">
        <f>_xlfn.NORM.DIST('DATA SIAP'!K28,$D$5,$D$6, FALSE)</f>
        <v>0.19067592347995771</v>
      </c>
      <c r="O29" s="7">
        <f>_xlfn.NORM.DIST('DATA SIAP'!L28,$E$5,$E$6, FALSE)</f>
        <v>3.2543691331192372E-2</v>
      </c>
      <c r="T29" s="7">
        <f t="shared" si="0"/>
        <v>7.6681051695901816E-7</v>
      </c>
      <c r="U29" s="7">
        <f t="shared" si="1"/>
        <v>6.9569938643564903E-5</v>
      </c>
      <c r="W29" s="7" t="str">
        <f t="shared" si="2"/>
        <v>ANEMIA</v>
      </c>
    </row>
    <row r="30" spans="1:23" x14ac:dyDescent="0.25">
      <c r="G30" s="7">
        <f>_xlfn.NORM.DIST('DATA SIAP'!I29,$B$2,$B$3, FALSE)</f>
        <v>0.30370402725352391</v>
      </c>
      <c r="H30" s="7">
        <f>_xlfn.NORM.DIST('DATA SIAP'!J29,$C$2,$C$3, FALSE)</f>
        <v>0.10298716609708776</v>
      </c>
      <c r="I30" s="7">
        <f>_xlfn.NORM.DIST('DATA SIAP'!K29,$D$2,$D$3, FALSE)</f>
        <v>0.22939862492988175</v>
      </c>
      <c r="J30" s="7">
        <f>_xlfn.NORM.DIST('DATA SIAP'!L29,$E$2,$E$3, FALSE)</f>
        <v>2.0989885043307982E-2</v>
      </c>
      <c r="L30" s="7">
        <f>_xlfn.NORM.DIST('DATA SIAP'!I29,$B$5,$B$6, FALSE)</f>
        <v>7.2709962889710416E-3</v>
      </c>
      <c r="M30" s="7">
        <f>_xlfn.NORM.DIST('DATA SIAP'!J29,$C$5,$C$6, FALSE)</f>
        <v>9.6202969642376596E-2</v>
      </c>
      <c r="N30" s="7">
        <f>_xlfn.NORM.DIST('DATA SIAP'!K29,$D$5,$D$6, FALSE)</f>
        <v>0.20362742527633393</v>
      </c>
      <c r="O30" s="7">
        <f>_xlfn.NORM.DIST('DATA SIAP'!L29,$E$5,$E$6, FALSE)</f>
        <v>2.2937844646151801E-2</v>
      </c>
      <c r="T30" s="7">
        <f t="shared" si="0"/>
        <v>8.166517740928019E-5</v>
      </c>
      <c r="U30" s="7">
        <f t="shared" si="1"/>
        <v>1.4955339986096759E-6</v>
      </c>
      <c r="W30" s="7" t="str">
        <f t="shared" si="2"/>
        <v>SEHAT</v>
      </c>
    </row>
    <row r="31" spans="1:23" x14ac:dyDescent="0.25">
      <c r="G31" s="7">
        <f>_xlfn.NORM.DIST('DATA SIAP'!I30,$B$2,$B$3, FALSE)</f>
        <v>3.4567812457190553E-2</v>
      </c>
      <c r="H31" s="7">
        <f>_xlfn.NORM.DIST('DATA SIAP'!J30,$C$2,$C$3, FALSE)</f>
        <v>3.8754809006189349E-2</v>
      </c>
      <c r="I31" s="7">
        <f>_xlfn.NORM.DIST('DATA SIAP'!K30,$D$2,$D$3, FALSE)</f>
        <v>0.22939862492988175</v>
      </c>
      <c r="J31" s="7">
        <f>_xlfn.NORM.DIST('DATA SIAP'!L30,$E$2,$E$3, FALSE)</f>
        <v>1.3968091235696921E-2</v>
      </c>
      <c r="L31" s="7">
        <f>_xlfn.NORM.DIST('DATA SIAP'!I30,$B$5,$B$6, FALSE)</f>
        <v>0.28031571355468393</v>
      </c>
      <c r="M31" s="7">
        <f>_xlfn.NORM.DIST('DATA SIAP'!J30,$C$5,$C$6, FALSE)</f>
        <v>4.135712140685225E-2</v>
      </c>
      <c r="N31" s="7">
        <f>_xlfn.NORM.DIST('DATA SIAP'!K30,$D$5,$D$6, FALSE)</f>
        <v>0.20362742527633393</v>
      </c>
      <c r="O31" s="7">
        <f>_xlfn.NORM.DIST('DATA SIAP'!L30,$E$5,$E$6, FALSE)</f>
        <v>1.3735881948872446E-2</v>
      </c>
      <c r="T31" s="7">
        <f t="shared" si="0"/>
        <v>2.3277039961697169E-6</v>
      </c>
      <c r="U31" s="7">
        <f t="shared" si="1"/>
        <v>1.4842791204764635E-5</v>
      </c>
      <c r="W31" s="7" t="str">
        <f t="shared" si="2"/>
        <v>ANEMIA</v>
      </c>
    </row>
    <row r="32" spans="1:23" x14ac:dyDescent="0.25">
      <c r="G32" s="7">
        <f>_xlfn.NORM.DIST('DATA SIAP'!I31,$B$2,$B$3, FALSE)</f>
        <v>0.30216375232280629</v>
      </c>
      <c r="H32" s="7">
        <f>_xlfn.NORM.DIST('DATA SIAP'!J31,$C$2,$C$3, FALSE)</f>
        <v>0.10298716609708776</v>
      </c>
      <c r="I32" s="7">
        <f>_xlfn.NORM.DIST('DATA SIAP'!K31,$D$2,$D$3, FALSE)</f>
        <v>0.28106392084554088</v>
      </c>
      <c r="J32" s="7">
        <f>_xlfn.NORM.DIST('DATA SIAP'!L31,$E$2,$E$3, FALSE)</f>
        <v>4.3030504816720473E-2</v>
      </c>
      <c r="L32" s="7">
        <f>_xlfn.NORM.DIST('DATA SIAP'!I31,$B$5,$B$6, FALSE)</f>
        <v>9.0798586436414176E-3</v>
      </c>
      <c r="M32" s="7">
        <f>_xlfn.NORM.DIST('DATA SIAP'!J31,$C$5,$C$6, FALSE)</f>
        <v>9.6202969642376596E-2</v>
      </c>
      <c r="N32" s="7">
        <f>_xlfn.NORM.DIST('DATA SIAP'!K31,$D$5,$D$6, FALSE)</f>
        <v>0.27714999836250115</v>
      </c>
      <c r="O32" s="7">
        <f>_xlfn.NORM.DIST('DATA SIAP'!L31,$E$5,$E$6, FALSE)</f>
        <v>4.0450750095908428E-2</v>
      </c>
      <c r="T32" s="7">
        <f t="shared" si="0"/>
        <v>2.0408420549613692E-4</v>
      </c>
      <c r="U32" s="7">
        <f t="shared" si="1"/>
        <v>4.4826418113880616E-6</v>
      </c>
      <c r="W32" s="7" t="str">
        <f t="shared" si="2"/>
        <v>SEHAT</v>
      </c>
    </row>
    <row r="33" spans="7:23" x14ac:dyDescent="0.25">
      <c r="G33" s="7">
        <f>_xlfn.NORM.DIST('DATA SIAP'!I32,$B$2,$B$3, FALSE)</f>
        <v>6.5464560736304186E-3</v>
      </c>
      <c r="H33" s="7">
        <f>_xlfn.NORM.DIST('DATA SIAP'!J32,$C$2,$C$3, FALSE)</f>
        <v>2.1620445322555359E-2</v>
      </c>
      <c r="I33" s="7">
        <f>_xlfn.NORM.DIST('DATA SIAP'!K32,$D$2,$D$3, FALSE)</f>
        <v>0.28223010825692313</v>
      </c>
      <c r="J33" s="7">
        <f>_xlfn.NORM.DIST('DATA SIAP'!L32,$E$2,$E$3, FALSE)</f>
        <v>4.058919006700671E-2</v>
      </c>
      <c r="L33" s="7">
        <f>_xlfn.NORM.DIST('DATA SIAP'!I32,$B$5,$B$6, FALSE)</f>
        <v>0.32062919492472447</v>
      </c>
      <c r="M33" s="7">
        <f>_xlfn.NORM.DIST('DATA SIAP'!J32,$C$5,$C$6, FALSE)</f>
        <v>2.4537920472792317E-2</v>
      </c>
      <c r="N33" s="7">
        <f>_xlfn.NORM.DIST('DATA SIAP'!K32,$D$5,$D$6, FALSE)</f>
        <v>0.29338304844726315</v>
      </c>
      <c r="O33" s="7">
        <f>_xlfn.NORM.DIST('DATA SIAP'!L32,$E$5,$E$6, FALSE)</f>
        <v>3.9065566330239714E-2</v>
      </c>
      <c r="T33" s="7">
        <f t="shared" si="0"/>
        <v>8.7919862777351481E-7</v>
      </c>
      <c r="U33" s="7">
        <f t="shared" si="1"/>
        <v>4.1275749956544796E-5</v>
      </c>
      <c r="W33" s="7" t="str">
        <f t="shared" si="2"/>
        <v>ANEMIA</v>
      </c>
    </row>
    <row r="34" spans="7:23" x14ac:dyDescent="0.25">
      <c r="G34" s="7">
        <f>_xlfn.NORM.DIST('DATA SIAP'!I33,$B$2,$B$3, FALSE)</f>
        <v>0.27939584624189906</v>
      </c>
      <c r="H34" s="7">
        <f>_xlfn.NORM.DIST('DATA SIAP'!J33,$C$2,$C$3, FALSE)</f>
        <v>2.4752555115584038E-2</v>
      </c>
      <c r="I34" s="7">
        <f>_xlfn.NORM.DIST('DATA SIAP'!K33,$D$2,$D$3, FALSE)</f>
        <v>0.28106392084554088</v>
      </c>
      <c r="J34" s="7">
        <f>_xlfn.NORM.DIST('DATA SIAP'!L33,$E$2,$E$3, FALSE)</f>
        <v>3.8694972717164461E-2</v>
      </c>
      <c r="L34" s="7">
        <f>_xlfn.NORM.DIST('DATA SIAP'!I33,$B$5,$B$6, FALSE)</f>
        <v>2.0653187980494803E-2</v>
      </c>
      <c r="M34" s="7">
        <f>_xlfn.NORM.DIST('DATA SIAP'!J33,$C$5,$C$6, FALSE)</f>
        <v>2.761166338920696E-2</v>
      </c>
      <c r="N34" s="7">
        <f>_xlfn.NORM.DIST('DATA SIAP'!K33,$D$5,$D$6, FALSE)</f>
        <v>0.27714999836250115</v>
      </c>
      <c r="O34" s="7">
        <f>_xlfn.NORM.DIST('DATA SIAP'!L33,$E$5,$E$6, FALSE)</f>
        <v>3.5764490820692413E-2</v>
      </c>
      <c r="T34" s="7">
        <f t="shared" si="0"/>
        <v>4.0785144691227881E-5</v>
      </c>
      <c r="U34" s="7">
        <f t="shared" si="1"/>
        <v>2.5874478610760334E-6</v>
      </c>
      <c r="W34" s="7" t="str">
        <f t="shared" si="2"/>
        <v>ANEMIA</v>
      </c>
    </row>
    <row r="35" spans="7:23" x14ac:dyDescent="0.25">
      <c r="G35" s="7">
        <f>_xlfn.NORM.DIST('DATA SIAP'!I34,$B$2,$B$3, FALSE)</f>
        <v>0.27939584624189906</v>
      </c>
      <c r="H35" s="7">
        <f>_xlfn.NORM.DIST('DATA SIAP'!J34,$C$2,$C$3, FALSE)</f>
        <v>9.8946481219223462E-2</v>
      </c>
      <c r="I35" s="7">
        <f>_xlfn.NORM.DIST('DATA SIAP'!K34,$D$2,$D$3, FALSE)</f>
        <v>0.17033125385914347</v>
      </c>
      <c r="J35" s="7">
        <f>_xlfn.NORM.DIST('DATA SIAP'!L34,$E$2,$E$3, FALSE)</f>
        <v>2.0199987083146353E-2</v>
      </c>
      <c r="L35" s="7">
        <f>_xlfn.NORM.DIST('DATA SIAP'!I34,$B$5,$B$6, FALSE)</f>
        <v>2.0653187980494803E-2</v>
      </c>
      <c r="M35" s="7">
        <f>_xlfn.NORM.DIST('DATA SIAP'!J34,$C$5,$C$6, FALSE)</f>
        <v>9.298873747079453E-2</v>
      </c>
      <c r="N35" s="7">
        <f>_xlfn.NORM.DIST('DATA SIAP'!K34,$D$5,$D$6, FALSE)</f>
        <v>0.13886633480617</v>
      </c>
      <c r="O35" s="7">
        <f>_xlfn.NORM.DIST('DATA SIAP'!L34,$E$5,$E$6, FALSE)</f>
        <v>1.9306996133093141E-2</v>
      </c>
      <c r="T35" s="7">
        <f t="shared" si="0"/>
        <v>5.1578429630164947E-5</v>
      </c>
      <c r="U35" s="7">
        <f t="shared" si="1"/>
        <v>2.3569704843957305E-6</v>
      </c>
      <c r="W35" s="7" t="str">
        <f t="shared" si="2"/>
        <v>SEHAT</v>
      </c>
    </row>
    <row r="36" spans="7:23" x14ac:dyDescent="0.25">
      <c r="G36" s="7">
        <f>_xlfn.NORM.DIST('DATA SIAP'!I35,$B$2,$B$3, FALSE)</f>
        <v>4.2433147805415582E-3</v>
      </c>
      <c r="H36" s="7">
        <f>_xlfn.NORM.DIST('DATA SIAP'!J35,$C$2,$C$3, FALSE)</f>
        <v>3.1855631605259553E-2</v>
      </c>
      <c r="I36" s="7">
        <f>_xlfn.NORM.DIST('DATA SIAP'!K35,$D$2,$D$3, FALSE)</f>
        <v>0.25802048460065757</v>
      </c>
      <c r="J36" s="7">
        <f>_xlfn.NORM.DIST('DATA SIAP'!L35,$E$2,$E$3, FALSE)</f>
        <v>2.2639147279342735E-2</v>
      </c>
      <c r="L36" s="7">
        <f>_xlfn.NORM.DIST('DATA SIAP'!I35,$B$5,$B$6, FALSE)</f>
        <v>0.30692698152080589</v>
      </c>
      <c r="M36" s="7">
        <f>_xlfn.NORM.DIST('DATA SIAP'!J35,$C$5,$C$6, FALSE)</f>
        <v>3.4410630840384711E-2</v>
      </c>
      <c r="N36" s="7">
        <f>_xlfn.NORM.DIST('DATA SIAP'!K35,$D$5,$D$6, FALSE)</f>
        <v>0.24006849003587924</v>
      </c>
      <c r="O36" s="7">
        <f>_xlfn.NORM.DIST('DATA SIAP'!L35,$E$5,$E$6, FALSE)</f>
        <v>2.4428365875256604E-2</v>
      </c>
      <c r="T36" s="7">
        <f t="shared" si="0"/>
        <v>4.2816198240810167E-7</v>
      </c>
      <c r="U36" s="7">
        <f t="shared" si="1"/>
        <v>2.8351908066510146E-5</v>
      </c>
      <c r="W36" s="7" t="str">
        <f t="shared" si="2"/>
        <v>SEHAT</v>
      </c>
    </row>
    <row r="37" spans="7:23" x14ac:dyDescent="0.25">
      <c r="G37" s="7">
        <f>_xlfn.NORM.DIST('DATA SIAP'!I36,$B$2,$B$3, FALSE)</f>
        <v>2.4872091471151239E-2</v>
      </c>
      <c r="H37" s="7">
        <f>_xlfn.NORM.DIST('DATA SIAP'!J36,$C$2,$C$3, FALSE)</f>
        <v>2.3805817976595704E-2</v>
      </c>
      <c r="I37" s="7">
        <f>_xlfn.NORM.DIST('DATA SIAP'!K36,$D$2,$D$3, FALSE)</f>
        <v>9.470219971360351E-2</v>
      </c>
      <c r="J37" s="7">
        <f>_xlfn.NORM.DIST('DATA SIAP'!L36,$E$2,$E$3, FALSE)</f>
        <v>4.2104064184235922E-2</v>
      </c>
      <c r="L37" s="7">
        <f>_xlfn.NORM.DIST('DATA SIAP'!I36,$B$5,$B$6, FALSE)</f>
        <v>0.30264828161210117</v>
      </c>
      <c r="M37" s="7">
        <f>_xlfn.NORM.DIST('DATA SIAP'!J36,$C$5,$C$6, FALSE)</f>
        <v>2.7108053792358363E-2</v>
      </c>
      <c r="N37" s="7">
        <f>_xlfn.NORM.DIST('DATA SIAP'!K36,$D$5,$D$6, FALSE)</f>
        <v>0.1176432423163154</v>
      </c>
      <c r="O37" s="7">
        <f>_xlfn.NORM.DIST('DATA SIAP'!L36,$E$5,$E$6, FALSE)</f>
        <v>3.9076278948143646E-2</v>
      </c>
      <c r="T37" s="7">
        <f t="shared" si="0"/>
        <v>1.2802119638013437E-6</v>
      </c>
      <c r="U37" s="7">
        <f t="shared" si="1"/>
        <v>1.7264012827037771E-5</v>
      </c>
      <c r="W37" s="7" t="str">
        <f t="shared" si="2"/>
        <v>ANEMIA</v>
      </c>
    </row>
    <row r="38" spans="7:23" x14ac:dyDescent="0.25">
      <c r="G38" s="7">
        <f>_xlfn.NORM.DIST('DATA SIAP'!I37,$B$2,$B$3, FALSE)</f>
        <v>0.18082757569176874</v>
      </c>
      <c r="H38" s="7">
        <f>_xlfn.NORM.DIST('DATA SIAP'!J37,$C$2,$C$3, FALSE)</f>
        <v>0.10158123730157224</v>
      </c>
      <c r="I38" s="7">
        <f>_xlfn.NORM.DIST('DATA SIAP'!K37,$D$2,$D$3, FALSE)</f>
        <v>0.26561722062877446</v>
      </c>
      <c r="J38" s="7">
        <f>_xlfn.NORM.DIST('DATA SIAP'!L37,$E$2,$E$3, FALSE)</f>
        <v>2.0989885043307982E-2</v>
      </c>
      <c r="L38" s="7">
        <f>_xlfn.NORM.DIST('DATA SIAP'!I37,$B$5,$B$6, FALSE)</f>
        <v>7.752582775334832E-2</v>
      </c>
      <c r="M38" s="7">
        <f>_xlfn.NORM.DIST('DATA SIAP'!J37,$C$5,$C$6, FALSE)</f>
        <v>9.4913533433279296E-2</v>
      </c>
      <c r="N38" s="7">
        <f>_xlfn.NORM.DIST('DATA SIAP'!K37,$D$5,$D$6, FALSE)</f>
        <v>0.25087690118257733</v>
      </c>
      <c r="O38" s="7">
        <f>_xlfn.NORM.DIST('DATA SIAP'!L37,$E$5,$E$6, FALSE)</f>
        <v>2.2937844646151801E-2</v>
      </c>
      <c r="T38" s="7">
        <f t="shared" si="0"/>
        <v>5.5532449089711344E-5</v>
      </c>
      <c r="U38" s="7">
        <f t="shared" si="1"/>
        <v>1.9382636425914276E-5</v>
      </c>
      <c r="W38" s="7" t="str">
        <f t="shared" si="2"/>
        <v>ANEMIA</v>
      </c>
    </row>
    <row r="39" spans="7:23" x14ac:dyDescent="0.25">
      <c r="G39" s="7">
        <f>_xlfn.NORM.DIST('DATA SIAP'!I38,$B$2,$B$3, FALSE)</f>
        <v>0.30348677398303142</v>
      </c>
      <c r="H39" s="7">
        <f>_xlfn.NORM.DIST('DATA SIAP'!J38,$C$2,$C$3, FALSE)</f>
        <v>4.0009173504538843E-2</v>
      </c>
      <c r="I39" s="7">
        <f>_xlfn.NORM.DIST('DATA SIAP'!K38,$D$2,$D$3, FALSE)</f>
        <v>7.5864629322429281E-2</v>
      </c>
      <c r="J39" s="7">
        <f>_xlfn.NORM.DIST('DATA SIAP'!L38,$E$2,$E$3, FALSE)</f>
        <v>1.023696655722252E-2</v>
      </c>
      <c r="L39" s="7">
        <f>_xlfn.NORM.DIST('DATA SIAP'!I38,$B$5,$B$6, FALSE)</f>
        <v>5.7836964810562405E-3</v>
      </c>
      <c r="M39" s="7">
        <f>_xlfn.NORM.DIST('DATA SIAP'!J38,$C$5,$C$6, FALSE)</f>
        <v>4.1983625779858522E-2</v>
      </c>
      <c r="N39" s="7">
        <f>_xlfn.NORM.DIST('DATA SIAP'!K38,$D$5,$D$6, FALSE)</f>
        <v>9.5359332080553083E-2</v>
      </c>
      <c r="O39" s="7">
        <f>_xlfn.NORM.DIST('DATA SIAP'!L38,$E$5,$E$6, FALSE)</f>
        <v>1.0330413117694301E-2</v>
      </c>
      <c r="T39" s="7">
        <f t="shared" si="0"/>
        <v>5.1134304657029085E-6</v>
      </c>
      <c r="U39" s="7">
        <f t="shared" si="1"/>
        <v>1.0949425635808466E-7</v>
      </c>
      <c r="W39" s="7" t="str">
        <f t="shared" si="2"/>
        <v>ANEMIA</v>
      </c>
    </row>
    <row r="40" spans="7:23" x14ac:dyDescent="0.25">
      <c r="G40" s="7">
        <f>_xlfn.NORM.DIST('DATA SIAP'!I39,$B$2,$B$3, FALSE)</f>
        <v>0.30348677398303142</v>
      </c>
      <c r="H40" s="7">
        <f>_xlfn.NORM.DIST('DATA SIAP'!J39,$C$2,$C$3, FALSE)</f>
        <v>2.8309912561668246E-2</v>
      </c>
      <c r="I40" s="7">
        <f>_xlfn.NORM.DIST('DATA SIAP'!K39,$D$2,$D$3, FALSE)</f>
        <v>0.1050040661958891</v>
      </c>
      <c r="J40" s="7">
        <f>_xlfn.NORM.DIST('DATA SIAP'!L39,$E$2,$E$3, FALSE)</f>
        <v>4.2889364447375997E-2</v>
      </c>
      <c r="L40" s="7">
        <f>_xlfn.NORM.DIST('DATA SIAP'!I39,$B$5,$B$6, FALSE)</f>
        <v>5.7836964810562405E-3</v>
      </c>
      <c r="M40" s="7">
        <f>_xlfn.NORM.DIST('DATA SIAP'!J39,$C$5,$C$6, FALSE)</f>
        <v>3.1502393486152178E-2</v>
      </c>
      <c r="N40" s="7">
        <f>_xlfn.NORM.DIST('DATA SIAP'!K39,$D$5,$D$6, FALSE)</f>
        <v>0.12960993474335217</v>
      </c>
      <c r="O40" s="7">
        <f>_xlfn.NORM.DIST('DATA SIAP'!L39,$E$5,$E$6, FALSE)</f>
        <v>4.0433264310077932E-2</v>
      </c>
      <c r="T40" s="7">
        <f t="shared" si="0"/>
        <v>2.0981493837117376E-5</v>
      </c>
      <c r="U40" s="7">
        <f t="shared" si="1"/>
        <v>4.3707015761640866E-7</v>
      </c>
      <c r="W40" s="7" t="str">
        <f t="shared" si="2"/>
        <v>SEHAT</v>
      </c>
    </row>
    <row r="41" spans="7:23" x14ac:dyDescent="0.25">
      <c r="G41" s="7">
        <f>_xlfn.NORM.DIST('DATA SIAP'!I40,$B$2,$B$3, FALSE)</f>
        <v>1.4533849635820748E-2</v>
      </c>
      <c r="H41" s="7">
        <f>_xlfn.NORM.DIST('DATA SIAP'!J40,$C$2,$C$3, FALSE)</f>
        <v>6.8473529177472514E-2</v>
      </c>
      <c r="I41" s="7">
        <f>_xlfn.NORM.DIST('DATA SIAP'!K40,$D$2,$D$3, FALSE)</f>
        <v>0.28452688244841479</v>
      </c>
      <c r="J41" s="7">
        <f>_xlfn.NORM.DIST('DATA SIAP'!L40,$E$2,$E$3, FALSE)</f>
        <v>4.3030504816720473E-2</v>
      </c>
      <c r="L41" s="7">
        <f>_xlfn.NORM.DIST('DATA SIAP'!I40,$B$5,$B$6, FALSE)</f>
        <v>0.32292367051886689</v>
      </c>
      <c r="M41" s="7">
        <f>_xlfn.NORM.DIST('DATA SIAP'!J40,$C$5,$C$6, FALSE)</f>
        <v>6.7137525063334508E-2</v>
      </c>
      <c r="N41" s="7">
        <f>_xlfn.NORM.DIST('DATA SIAP'!K40,$D$5,$D$6, FALSE)</f>
        <v>0.28825868193721221</v>
      </c>
      <c r="O41" s="7">
        <f>_xlfn.NORM.DIST('DATA SIAP'!L40,$E$5,$E$6, FALSE)</f>
        <v>4.0450750095908428E-2</v>
      </c>
      <c r="T41" s="7">
        <f t="shared" si="0"/>
        <v>6.6070181870463264E-6</v>
      </c>
      <c r="U41" s="7">
        <f t="shared" si="1"/>
        <v>1.1571754087874357E-4</v>
      </c>
      <c r="W41" s="7" t="str">
        <f t="shared" si="2"/>
        <v>SEHAT</v>
      </c>
    </row>
    <row r="42" spans="7:23" x14ac:dyDescent="0.25">
      <c r="G42" s="7">
        <f>_xlfn.NORM.DIST('DATA SIAP'!I41,$B$2,$B$3, FALSE)</f>
        <v>6.2282131541449362E-2</v>
      </c>
      <c r="H42" s="7">
        <f>_xlfn.NORM.DIST('DATA SIAP'!J41,$C$2,$C$3, FALSE)</f>
        <v>0.10260832370383424</v>
      </c>
      <c r="I42" s="7">
        <f>_xlfn.NORM.DIST('DATA SIAP'!K41,$D$2,$D$3, FALSE)</f>
        <v>0.26838104088565923</v>
      </c>
      <c r="J42" s="7">
        <f>_xlfn.NORM.DIST('DATA SIAP'!L41,$E$2,$E$3, FALSE)</f>
        <v>4.0884270843475373E-2</v>
      </c>
      <c r="L42" s="7">
        <f>_xlfn.NORM.DIST('DATA SIAP'!I41,$B$5,$B$6, FALSE)</f>
        <v>0.22193547602789976</v>
      </c>
      <c r="M42" s="7">
        <f>_xlfn.NORM.DIST('DATA SIAP'!J41,$C$5,$C$6, FALSE)</f>
        <v>9.5906469505890934E-2</v>
      </c>
      <c r="N42" s="7">
        <f>_xlfn.NORM.DIST('DATA SIAP'!K41,$D$5,$D$6, FALSE)</f>
        <v>0.28924177494405268</v>
      </c>
      <c r="O42" s="7">
        <f>_xlfn.NORM.DIST('DATA SIAP'!L41,$E$5,$E$6, FALSE)</f>
        <v>3.9267331598019643E-2</v>
      </c>
      <c r="T42" s="7">
        <f t="shared" si="0"/>
        <v>3.8023888736235346E-5</v>
      </c>
      <c r="U42" s="7">
        <f t="shared" si="1"/>
        <v>1.1066035350875359E-4</v>
      </c>
      <c r="W42" s="7" t="str">
        <f t="shared" si="2"/>
        <v>ANEMIA</v>
      </c>
    </row>
    <row r="43" spans="7:23" x14ac:dyDescent="0.25">
      <c r="G43" s="7">
        <f>_xlfn.NORM.DIST('DATA SIAP'!I42,$B$2,$B$3, FALSE)</f>
        <v>0.29394703936942013</v>
      </c>
      <c r="H43" s="7">
        <f>_xlfn.NORM.DIST('DATA SIAP'!J42,$C$2,$C$3, FALSE)</f>
        <v>9.0756897818902435E-2</v>
      </c>
      <c r="I43" s="7">
        <f>_xlfn.NORM.DIST('DATA SIAP'!K42,$D$2,$D$3, FALSE)</f>
        <v>0.20677634266355821</v>
      </c>
      <c r="J43" s="7">
        <f>_xlfn.NORM.DIST('DATA SIAP'!L42,$E$2,$E$3, FALSE)</f>
        <v>3.9246402460275033E-2</v>
      </c>
      <c r="L43" s="7">
        <f>_xlfn.NORM.DIST('DATA SIAP'!I42,$B$5,$B$6, FALSE)</f>
        <v>1.3878407083089302E-2</v>
      </c>
      <c r="M43" s="7">
        <f>_xlfn.NORM.DIST('DATA SIAP'!J42,$C$5,$C$6, FALSE)</f>
        <v>8.6339459663688722E-2</v>
      </c>
      <c r="N43" s="7">
        <f>_xlfn.NORM.DIST('DATA SIAP'!K42,$D$5,$D$6, FALSE)</f>
        <v>0.17758313678314452</v>
      </c>
      <c r="O43" s="7">
        <f>_xlfn.NORM.DIST('DATA SIAP'!L42,$E$5,$E$6, FALSE)</f>
        <v>3.8111752124192259E-2</v>
      </c>
      <c r="T43" s="7">
        <f t="shared" si="0"/>
        <v>1.1739559910443303E-4</v>
      </c>
      <c r="U43" s="7">
        <f t="shared" si="1"/>
        <v>3.7122276308287733E-6</v>
      </c>
      <c r="W43" s="7" t="str">
        <f t="shared" si="2"/>
        <v>SEHAT</v>
      </c>
    </row>
    <row r="44" spans="7:23" x14ac:dyDescent="0.25">
      <c r="G44" s="7">
        <f>_xlfn.NORM.DIST('DATA SIAP'!I43,$B$2,$B$3, FALSE)</f>
        <v>9.1134535664730731E-2</v>
      </c>
      <c r="H44" s="7">
        <f>_xlfn.NORM.DIST('DATA SIAP'!J43,$C$2,$C$3, FALSE)</f>
        <v>9.4091507067202471E-2</v>
      </c>
      <c r="I44" s="7">
        <f>_xlfn.NORM.DIST('DATA SIAP'!K43,$D$2,$D$3, FALSE)</f>
        <v>0.15083248924656931</v>
      </c>
      <c r="J44" s="7">
        <f>_xlfn.NORM.DIST('DATA SIAP'!L43,$E$2,$E$3, FALSE)</f>
        <v>1.73087372448638E-2</v>
      </c>
      <c r="L44" s="7">
        <f>_xlfn.NORM.DIST('DATA SIAP'!I43,$B$5,$B$6, FALSE)</f>
        <v>0.17365085003564773</v>
      </c>
      <c r="M44" s="7">
        <f>_xlfn.NORM.DIST('DATA SIAP'!J43,$C$5,$C$6, FALSE)</f>
        <v>8.8702509228980084E-2</v>
      </c>
      <c r="N44" s="7">
        <f>_xlfn.NORM.DIST('DATA SIAP'!K43,$D$5,$D$6, FALSE)</f>
        <v>0.18087822136530166</v>
      </c>
      <c r="O44" s="7">
        <f>_xlfn.NORM.DIST('DATA SIAP'!L43,$E$5,$E$6, FALSE)</f>
        <v>1.9521066169382879E-2</v>
      </c>
      <c r="T44" s="7">
        <f t="shared" si="0"/>
        <v>1.2139367921222775E-5</v>
      </c>
      <c r="U44" s="7">
        <f t="shared" si="1"/>
        <v>2.4895889262690036E-5</v>
      </c>
      <c r="W44" s="7" t="str">
        <f t="shared" si="2"/>
        <v>SEHAT</v>
      </c>
    </row>
    <row r="45" spans="7:23" x14ac:dyDescent="0.25">
      <c r="G45" s="7">
        <f>_xlfn.NORM.DIST('DATA SIAP'!I44,$B$2,$B$3, FALSE)</f>
        <v>9.1134535664730731E-2</v>
      </c>
      <c r="H45" s="7">
        <f>_xlfn.NORM.DIST('DATA SIAP'!J44,$C$2,$C$3, FALSE)</f>
        <v>9.5153178986108602E-2</v>
      </c>
      <c r="I45" s="7">
        <f>_xlfn.NORM.DIST('DATA SIAP'!K44,$D$2,$D$3, FALSE)</f>
        <v>0.24936908005607247</v>
      </c>
      <c r="J45" s="7">
        <f>_xlfn.NORM.DIST('DATA SIAP'!L44,$E$2,$E$3, FALSE)</f>
        <v>2.856275440562573E-2</v>
      </c>
      <c r="L45" s="7">
        <f>_xlfn.NORM.DIST('DATA SIAP'!I44,$B$5,$B$6, FALSE)</f>
        <v>0.17365085003564773</v>
      </c>
      <c r="M45" s="7">
        <f>_xlfn.NORM.DIST('DATA SIAP'!J44,$C$5,$C$6, FALSE)</f>
        <v>8.9582947768660035E-2</v>
      </c>
      <c r="N45" s="7">
        <f>_xlfn.NORM.DIST('DATA SIAP'!K44,$D$5,$D$6, FALSE)</f>
        <v>0.22848406731540458</v>
      </c>
      <c r="O45" s="7">
        <f>_xlfn.NORM.DIST('DATA SIAP'!L44,$E$5,$E$6, FALSE)</f>
        <v>2.6687334078852761E-2</v>
      </c>
      <c r="T45" s="7">
        <f t="shared" si="0"/>
        <v>3.3492792358408389E-5</v>
      </c>
      <c r="U45" s="7">
        <f t="shared" si="1"/>
        <v>4.3419856946776966E-5</v>
      </c>
      <c r="W45" s="7" t="str">
        <f t="shared" si="2"/>
        <v>ANEMIA</v>
      </c>
    </row>
    <row r="46" spans="7:23" x14ac:dyDescent="0.25">
      <c r="G46" s="7">
        <f>_xlfn.NORM.DIST('DATA SIAP'!I45,$B$2,$B$3, FALSE)</f>
        <v>0.29247827880955168</v>
      </c>
      <c r="H46" s="7">
        <f>_xlfn.NORM.DIST('DATA SIAP'!J45,$C$2,$C$3, FALSE)</f>
        <v>4.1637046730842078E-2</v>
      </c>
      <c r="I46" s="7">
        <f>_xlfn.NORM.DIST('DATA SIAP'!K45,$D$2,$D$3, FALSE)</f>
        <v>0.18761229391009854</v>
      </c>
      <c r="J46" s="7">
        <f>_xlfn.NORM.DIST('DATA SIAP'!L45,$E$2,$E$3, FALSE)</f>
        <v>2.826078859283163E-2</v>
      </c>
      <c r="L46" s="7">
        <f>_xlfn.NORM.DIST('DATA SIAP'!I45,$B$5,$B$6, FALSE)</f>
        <v>2.7965373107455933E-3</v>
      </c>
      <c r="M46" s="7">
        <f>_xlfn.NORM.DIST('DATA SIAP'!J45,$C$5,$C$6, FALSE)</f>
        <v>4.4009140975046282E-2</v>
      </c>
      <c r="N46" s="7">
        <f>_xlfn.NORM.DIST('DATA SIAP'!K45,$D$5,$D$6, FALSE)</f>
        <v>0.21939825426614995</v>
      </c>
      <c r="O46" s="7">
        <f>_xlfn.NORM.DIST('DATA SIAP'!L45,$E$5,$E$6, FALSE)</f>
        <v>2.9337548136933081E-2</v>
      </c>
      <c r="T46" s="7">
        <f t="shared" si="0"/>
        <v>3.501236818838135E-5</v>
      </c>
      <c r="U46" s="7">
        <f t="shared" si="1"/>
        <v>3.6261478235370616E-7</v>
      </c>
      <c r="W46" s="7" t="str">
        <f t="shared" si="2"/>
        <v>ANEMIA</v>
      </c>
    </row>
    <row r="47" spans="7:23" x14ac:dyDescent="0.25">
      <c r="G47" s="7">
        <f>_xlfn.NORM.DIST('DATA SIAP'!I46,$B$2,$B$3, FALSE)</f>
        <v>0.19139514372715244</v>
      </c>
      <c r="H47" s="7">
        <f>_xlfn.NORM.DIST('DATA SIAP'!J46,$C$2,$C$3, FALSE)</f>
        <v>9.6161656224035566E-2</v>
      </c>
      <c r="I47" s="7">
        <f>_xlfn.NORM.DIST('DATA SIAP'!K46,$D$2,$D$3, FALSE)</f>
        <v>0.21834869514136626</v>
      </c>
      <c r="J47" s="7">
        <f>_xlfn.NORM.DIST('DATA SIAP'!L46,$E$2,$E$3, FALSE)</f>
        <v>4.089542448662415E-2</v>
      </c>
      <c r="L47" s="7">
        <f>_xlfn.NORM.DIST('DATA SIAP'!I46,$B$5,$B$6, FALSE)</f>
        <v>2.2033814817541678E-4</v>
      </c>
      <c r="M47" s="7">
        <f>_xlfn.NORM.DIST('DATA SIAP'!J46,$C$5,$C$6, FALSE)</f>
        <v>9.0418829930510661E-2</v>
      </c>
      <c r="N47" s="7">
        <f>_xlfn.NORM.DIST('DATA SIAP'!K46,$D$5,$D$6, FALSE)</f>
        <v>0.19067592347995771</v>
      </c>
      <c r="O47" s="7">
        <f>_xlfn.NORM.DIST('DATA SIAP'!L46,$E$5,$E$6, FALSE)</f>
        <v>3.7852402631898152E-2</v>
      </c>
      <c r="T47" s="7">
        <f t="shared" si="0"/>
        <v>8.9116998547955617E-5</v>
      </c>
      <c r="U47" s="7">
        <f t="shared" si="1"/>
        <v>6.5820761050914195E-8</v>
      </c>
      <c r="W47" s="7" t="str">
        <f t="shared" si="2"/>
        <v>SEHAT</v>
      </c>
    </row>
    <row r="48" spans="7:23" x14ac:dyDescent="0.25">
      <c r="G48" s="7">
        <f>_xlfn.NORM.DIST('DATA SIAP'!I47,$B$2,$B$3, FALSE)</f>
        <v>1.748545125674552E-2</v>
      </c>
      <c r="H48" s="7">
        <f>_xlfn.NORM.DIST('DATA SIAP'!J47,$C$2,$C$3, FALSE)</f>
        <v>7.0291797410209786E-2</v>
      </c>
      <c r="I48" s="7">
        <f>_xlfn.NORM.DIST('DATA SIAP'!K47,$D$2,$D$3, FALSE)</f>
        <v>0.28351038637612513</v>
      </c>
      <c r="J48" s="7">
        <f>_xlfn.NORM.DIST('DATA SIAP'!L47,$E$2,$E$3, FALSE)</f>
        <v>1.0989513004024004E-2</v>
      </c>
      <c r="L48" s="7">
        <f>_xlfn.NORM.DIST('DATA SIAP'!I47,$B$5,$B$6, FALSE)</f>
        <v>0.31813827532295402</v>
      </c>
      <c r="M48" s="7">
        <f>_xlfn.NORM.DIST('DATA SIAP'!J47,$C$5,$C$6, FALSE)</f>
        <v>6.9248824946712695E-2</v>
      </c>
      <c r="N48" s="7">
        <f>_xlfn.NORM.DIST('DATA SIAP'!K47,$D$5,$D$6, FALSE)</f>
        <v>0.2834167413939313</v>
      </c>
      <c r="O48" s="7">
        <f>_xlfn.NORM.DIST('DATA SIAP'!L47,$E$5,$E$6, FALSE)</f>
        <v>1.3309109746317707E-2</v>
      </c>
      <c r="T48" s="7">
        <f t="shared" si="0"/>
        <v>2.0764969399599081E-6</v>
      </c>
      <c r="U48" s="7">
        <f t="shared" si="1"/>
        <v>3.8038891249270983E-5</v>
      </c>
      <c r="W48" s="7" t="str">
        <f t="shared" si="2"/>
        <v>ANEMIA</v>
      </c>
    </row>
    <row r="49" spans="7:23" x14ac:dyDescent="0.25">
      <c r="G49" s="7">
        <f>_xlfn.NORM.DIST('DATA SIAP'!I48,$B$2,$B$3, FALSE)</f>
        <v>0.11112255931408969</v>
      </c>
      <c r="H49" s="7">
        <f>_xlfn.NORM.DIST('DATA SIAP'!J48,$C$2,$C$3, FALSE)</f>
        <v>8.9354507034905398E-2</v>
      </c>
      <c r="I49" s="7">
        <f>_xlfn.NORM.DIST('DATA SIAP'!K48,$D$2,$D$3, FALSE)</f>
        <v>0.12713630690141631</v>
      </c>
      <c r="J49" s="7">
        <f>_xlfn.NORM.DIST('DATA SIAP'!L48,$E$2,$E$3, FALSE)</f>
        <v>4.2969903488248903E-2</v>
      </c>
      <c r="L49" s="7">
        <f>_xlfn.NORM.DIST('DATA SIAP'!I48,$B$5,$B$6, FALSE)</f>
        <v>2.9974745226935406E-5</v>
      </c>
      <c r="M49" s="7">
        <f>_xlfn.NORM.DIST('DATA SIAP'!J48,$C$5,$C$6, FALSE)</f>
        <v>8.4765481228408129E-2</v>
      </c>
      <c r="N49" s="7">
        <f>_xlfn.NORM.DIST('DATA SIAP'!K48,$D$5,$D$6, FALSE)</f>
        <v>0.1547817431068946</v>
      </c>
      <c r="O49" s="7">
        <f>_xlfn.NORM.DIST('DATA SIAP'!L48,$E$5,$E$6, FALSE)</f>
        <v>4.0450323523371287E-2</v>
      </c>
      <c r="T49" s="7">
        <f t="shared" si="0"/>
        <v>2.9414065097067243E-5</v>
      </c>
      <c r="U49" s="7">
        <f t="shared" si="1"/>
        <v>7.281842434288781E-9</v>
      </c>
      <c r="W49" s="7" t="str">
        <f t="shared" si="2"/>
        <v>SEHAT</v>
      </c>
    </row>
    <row r="50" spans="7:23" x14ac:dyDescent="0.25">
      <c r="G50" s="7">
        <f>_xlfn.NORM.DIST('DATA SIAP'!I49,$B$2,$B$3, FALSE)</f>
        <v>8.0608030606479884E-3</v>
      </c>
      <c r="H50" s="7">
        <f>_xlfn.NORM.DIST('DATA SIAP'!J49,$C$2,$C$3, FALSE)</f>
        <v>6.3768277062872733E-2</v>
      </c>
      <c r="I50" s="7">
        <f>_xlfn.NORM.DIST('DATA SIAP'!K49,$D$2,$D$3, FALSE)</f>
        <v>0.27722454854897127</v>
      </c>
      <c r="J50" s="7">
        <f>_xlfn.NORM.DIST('DATA SIAP'!L49,$E$2,$E$3, FALSE)</f>
        <v>3.2652871191305E-2</v>
      </c>
      <c r="L50" s="7">
        <f>_xlfn.NORM.DIST('DATA SIAP'!I49,$B$5,$B$6, FALSE)</f>
        <v>0.32443833620079482</v>
      </c>
      <c r="M50" s="7">
        <f>_xlfn.NORM.DIST('DATA SIAP'!J49,$C$5,$C$6, FALSE)</f>
        <v>6.3654498965158485E-2</v>
      </c>
      <c r="N50" s="7">
        <f>_xlfn.NORM.DIST('DATA SIAP'!K49,$D$5,$D$6, FALSE)</f>
        <v>0.26955695164547089</v>
      </c>
      <c r="O50" s="7">
        <f>_xlfn.NORM.DIST('DATA SIAP'!L49,$E$5,$E$6, FALSE)</f>
        <v>3.0306082915879547E-2</v>
      </c>
      <c r="T50" s="7">
        <f t="shared" si="0"/>
        <v>2.5231230703545727E-6</v>
      </c>
      <c r="U50" s="7">
        <f t="shared" si="1"/>
        <v>7.7226548525697366E-5</v>
      </c>
      <c r="W50" s="7" t="str">
        <f t="shared" si="2"/>
        <v>ANEMIA</v>
      </c>
    </row>
    <row r="51" spans="7:23" x14ac:dyDescent="0.25">
      <c r="G51" s="7">
        <f>_xlfn.NORM.DIST('DATA SIAP'!I50,$B$2,$B$3, FALSE)</f>
        <v>0.28556630759985968</v>
      </c>
      <c r="H51" s="7">
        <f>_xlfn.NORM.DIST('DATA SIAP'!J50,$C$2,$C$3, FALSE)</f>
        <v>5.5408394908653263E-2</v>
      </c>
      <c r="I51" s="7">
        <f>_xlfn.NORM.DIST('DATA SIAP'!K50,$D$2,$D$3, FALSE)</f>
        <v>0.27895172274462349</v>
      </c>
      <c r="J51" s="7">
        <f>_xlfn.NORM.DIST('DATA SIAP'!L50,$E$2,$E$3, FALSE)</f>
        <v>2.1831801540822284E-2</v>
      </c>
      <c r="L51" s="7">
        <f>_xlfn.NORM.DIST('DATA SIAP'!I50,$B$5,$B$6, FALSE)</f>
        <v>2.1658038923362813E-3</v>
      </c>
      <c r="M51" s="7">
        <f>_xlfn.NORM.DIST('DATA SIAP'!J50,$C$5,$C$6, FALSE)</f>
        <v>5.5793807117840009E-2</v>
      </c>
      <c r="N51" s="7">
        <f>_xlfn.NORM.DIST('DATA SIAP'!K50,$D$5,$D$6, FALSE)</f>
        <v>0.29358288989759423</v>
      </c>
      <c r="O51" s="7">
        <f>_xlfn.NORM.DIST('DATA SIAP'!L50,$E$5,$E$6, FALSE)</f>
        <v>2.0751422517950147E-2</v>
      </c>
      <c r="T51" s="7">
        <f t="shared" si="0"/>
        <v>5.2252074703137292E-5</v>
      </c>
      <c r="U51" s="7">
        <f t="shared" si="1"/>
        <v>3.3698359037478576E-7</v>
      </c>
      <c r="W51" s="7" t="str">
        <f t="shared" si="2"/>
        <v>ANEMIA</v>
      </c>
    </row>
    <row r="52" spans="7:23" x14ac:dyDescent="0.25">
      <c r="G52" s="7">
        <f>_xlfn.NORM.DIST('DATA SIAP'!I51,$B$2,$B$3, FALSE)</f>
        <v>0.28741140755172995</v>
      </c>
      <c r="H52" s="7">
        <f>_xlfn.NORM.DIST('DATA SIAP'!J51,$C$2,$C$3, FALSE)</f>
        <v>4.1637046730842078E-2</v>
      </c>
      <c r="I52" s="7">
        <f>_xlfn.NORM.DIST('DATA SIAP'!K51,$D$2,$D$3, FALSE)</f>
        <v>0.14591803167133907</v>
      </c>
      <c r="J52" s="7">
        <f>_xlfn.NORM.DIST('DATA SIAP'!L51,$E$2,$E$3, FALSE)</f>
        <v>3.1319478082319788E-2</v>
      </c>
      <c r="L52" s="7">
        <f>_xlfn.NORM.DIST('DATA SIAP'!I51,$B$5,$B$6, FALSE)</f>
        <v>1.6986933724906429E-2</v>
      </c>
      <c r="M52" s="7">
        <f>_xlfn.NORM.DIST('DATA SIAP'!J51,$C$5,$C$6, FALSE)</f>
        <v>4.4009140975046282E-2</v>
      </c>
      <c r="N52" s="7">
        <f>_xlfn.NORM.DIST('DATA SIAP'!K51,$D$5,$D$6, FALSE)</f>
        <v>0.11471631470308251</v>
      </c>
      <c r="O52" s="7">
        <f>_xlfn.NORM.DIST('DATA SIAP'!L51,$E$5,$E$6, FALSE)</f>
        <v>2.9123123028637617E-2</v>
      </c>
      <c r="T52" s="7">
        <f t="shared" si="0"/>
        <v>2.9655809223869866E-5</v>
      </c>
      <c r="U52" s="7">
        <f t="shared" si="1"/>
        <v>1.1432626823248912E-6</v>
      </c>
      <c r="W52" s="7" t="str">
        <f t="shared" si="2"/>
        <v>ANEMIA</v>
      </c>
    </row>
    <row r="53" spans="7:23" x14ac:dyDescent="0.25">
      <c r="G53" s="7">
        <f>_xlfn.NORM.DIST('DATA SIAP'!I52,$B$2,$B$3, FALSE)</f>
        <v>0.12657029558409025</v>
      </c>
      <c r="H53" s="7">
        <f>_xlfn.NORM.DIST('DATA SIAP'!J52,$C$2,$C$3, FALSE)</f>
        <v>3.8754809006189349E-2</v>
      </c>
      <c r="I53" s="7">
        <f>_xlfn.NORM.DIST('DATA SIAP'!K52,$D$2,$D$3, FALSE)</f>
        <v>0.26561722062877446</v>
      </c>
      <c r="J53" s="7">
        <f>_xlfn.NORM.DIST('DATA SIAP'!L52,$E$2,$E$3, FALSE)</f>
        <v>4.2972638481380249E-2</v>
      </c>
      <c r="L53" s="7">
        <f>_xlfn.NORM.DIST('DATA SIAP'!I52,$B$5,$B$6, FALSE)</f>
        <v>0.12793745743646967</v>
      </c>
      <c r="M53" s="7">
        <f>_xlfn.NORM.DIST('DATA SIAP'!J52,$C$5,$C$6, FALSE)</f>
        <v>4.135712140685225E-2</v>
      </c>
      <c r="N53" s="7">
        <f>_xlfn.NORM.DIST('DATA SIAP'!K52,$D$5,$D$6, FALSE)</f>
        <v>0.25087690118257733</v>
      </c>
      <c r="O53" s="7">
        <f>_xlfn.NORM.DIST('DATA SIAP'!L52,$E$5,$E$6, FALSE)</f>
        <v>4.0105427226059497E-2</v>
      </c>
      <c r="T53" s="7">
        <f t="shared" si="0"/>
        <v>3.0360437380428968E-5</v>
      </c>
      <c r="U53" s="7">
        <f t="shared" si="1"/>
        <v>2.4368952099537246E-5</v>
      </c>
      <c r="W53" s="7" t="str">
        <f t="shared" si="2"/>
        <v>SEHAT</v>
      </c>
    </row>
    <row r="54" spans="7:23" x14ac:dyDescent="0.25">
      <c r="G54" s="7">
        <f>_xlfn.NORM.DIST('DATA SIAP'!I53,$B$2,$B$3, FALSE)</f>
        <v>8.0741245945897683E-2</v>
      </c>
      <c r="H54" s="7">
        <f>_xlfn.NORM.DIST('DATA SIAP'!J53,$C$2,$C$3, FALSE)</f>
        <v>6.3569584407233218E-2</v>
      </c>
      <c r="I54" s="7">
        <f>_xlfn.NORM.DIST('DATA SIAP'!K53,$D$2,$D$3, FALSE)</f>
        <v>0.27722454854897127</v>
      </c>
      <c r="J54" s="7">
        <f>_xlfn.NORM.DIST('DATA SIAP'!L53,$E$2,$E$3, FALSE)</f>
        <v>4.2529382795102294E-2</v>
      </c>
      <c r="L54" s="7">
        <f>_xlfn.NORM.DIST('DATA SIAP'!I53,$B$5,$B$6, FALSE)</f>
        <v>0.18971286532748305</v>
      </c>
      <c r="M54" s="7">
        <f>_xlfn.NORM.DIST('DATA SIAP'!J53,$C$5,$C$6, FALSE)</f>
        <v>6.2913290847141742E-2</v>
      </c>
      <c r="N54" s="7">
        <f>_xlfn.NORM.DIST('DATA SIAP'!K53,$D$5,$D$6, FALSE)</f>
        <v>0.26955695164547089</v>
      </c>
      <c r="O54" s="7">
        <f>_xlfn.NORM.DIST('DATA SIAP'!L53,$E$5,$E$6, FALSE)</f>
        <v>4.0282603504579184E-2</v>
      </c>
      <c r="T54" s="7">
        <f t="shared" si="0"/>
        <v>3.2814664236179848E-5</v>
      </c>
      <c r="U54" s="7">
        <f t="shared" si="1"/>
        <v>5.932425137707116E-5</v>
      </c>
      <c r="W54" s="7" t="str">
        <f t="shared" si="2"/>
        <v>ANEMIA</v>
      </c>
    </row>
    <row r="55" spans="7:23" x14ac:dyDescent="0.25">
      <c r="G55" s="7">
        <f>_xlfn.NORM.DIST('DATA SIAP'!I54,$B$2,$B$3, FALSE)</f>
        <v>0.30370402725352391</v>
      </c>
      <c r="H55" s="7">
        <f>_xlfn.NORM.DIST('DATA SIAP'!J54,$C$2,$C$3, FALSE)</f>
        <v>4.0183696218232097E-2</v>
      </c>
      <c r="I55" s="7">
        <f>_xlfn.NORM.DIST('DATA SIAP'!K54,$D$2,$D$3, FALSE)</f>
        <v>0.25300927958246416</v>
      </c>
      <c r="J55" s="7">
        <f>_xlfn.NORM.DIST('DATA SIAP'!L54,$E$2,$E$3, FALSE)</f>
        <v>1.1386439733075506E-2</v>
      </c>
      <c r="L55" s="7">
        <f>_xlfn.NORM.DIST('DATA SIAP'!I54,$B$5,$B$6, FALSE)</f>
        <v>7.2709962889710416E-3</v>
      </c>
      <c r="M55" s="7">
        <f>_xlfn.NORM.DIST('DATA SIAP'!J54,$C$5,$C$6, FALSE)</f>
        <v>4.267510045770647E-2</v>
      </c>
      <c r="N55" s="7">
        <f>_xlfn.NORM.DIST('DATA SIAP'!K54,$D$5,$D$6, FALSE)</f>
        <v>0.27885369204976324</v>
      </c>
      <c r="O55" s="7">
        <f>_xlfn.NORM.DIST('DATA SIAP'!L54,$E$5,$E$6, FALSE)</f>
        <v>1.3714894427256595E-2</v>
      </c>
      <c r="T55" s="7">
        <f t="shared" si="0"/>
        <v>1.90645788351238E-5</v>
      </c>
      <c r="U55" s="7">
        <f t="shared" si="1"/>
        <v>5.4320324444074963E-7</v>
      </c>
      <c r="W55" s="7" t="str">
        <f t="shared" si="2"/>
        <v>ANEMIA</v>
      </c>
    </row>
    <row r="56" spans="7:23" x14ac:dyDescent="0.25">
      <c r="G56" s="7">
        <f>_xlfn.NORM.DIST('DATA SIAP'!I55,$B$2,$B$3, FALSE)</f>
        <v>8.8499523969291977E-2</v>
      </c>
      <c r="H56" s="7">
        <f>_xlfn.NORM.DIST('DATA SIAP'!J55,$C$2,$C$3, FALSE)</f>
        <v>8.2676258402150635E-2</v>
      </c>
      <c r="I56" s="7">
        <f>_xlfn.NORM.DIST('DATA SIAP'!K55,$D$2,$D$3, FALSE)</f>
        <v>0.26561722062877446</v>
      </c>
      <c r="J56" s="7">
        <f>_xlfn.NORM.DIST('DATA SIAP'!L55,$E$2,$E$3, FALSE)</f>
        <v>4.1422841334778929E-2</v>
      </c>
      <c r="L56" s="7">
        <f>_xlfn.NORM.DIST('DATA SIAP'!I55,$B$5,$B$6, FALSE)</f>
        <v>1.4613401539122497E-5</v>
      </c>
      <c r="M56" s="7">
        <f>_xlfn.NORM.DIST('DATA SIAP'!J55,$C$5,$C$6, FALSE)</f>
        <v>7.9670096278473143E-2</v>
      </c>
      <c r="N56" s="7">
        <f>_xlfn.NORM.DIST('DATA SIAP'!K55,$D$5,$D$6, FALSE)</f>
        <v>0.25087690118257733</v>
      </c>
      <c r="O56" s="7">
        <f>_xlfn.NORM.DIST('DATA SIAP'!L55,$E$5,$E$6, FALSE)</f>
        <v>3.9625073058055245E-2</v>
      </c>
      <c r="T56" s="7">
        <f t="shared" si="0"/>
        <v>4.3653617901373612E-5</v>
      </c>
      <c r="U56" s="7">
        <f t="shared" si="1"/>
        <v>5.2978837519863955E-9</v>
      </c>
      <c r="W56" s="7" t="str">
        <f t="shared" si="2"/>
        <v>ANEMIA</v>
      </c>
    </row>
    <row r="57" spans="7:23" x14ac:dyDescent="0.25">
      <c r="G57" s="7">
        <f>_xlfn.NORM.DIST('DATA SIAP'!I56,$B$2,$B$3, FALSE)</f>
        <v>0.30216375232280629</v>
      </c>
      <c r="H57" s="7">
        <f>_xlfn.NORM.DIST('DATA SIAP'!J56,$C$2,$C$3, FALSE)</f>
        <v>7.8005419042962487E-2</v>
      </c>
      <c r="I57" s="7">
        <f>_xlfn.NORM.DIST('DATA SIAP'!K56,$D$2,$D$3, FALSE)</f>
        <v>0.23978470508171501</v>
      </c>
      <c r="J57" s="7">
        <f>_xlfn.NORM.DIST('DATA SIAP'!L56,$E$2,$E$3, FALSE)</f>
        <v>2.8002002206489907E-2</v>
      </c>
      <c r="L57" s="7">
        <f>_xlfn.NORM.DIST('DATA SIAP'!I56,$B$5,$B$6, FALSE)</f>
        <v>9.0798586436414176E-3</v>
      </c>
      <c r="M57" s="7">
        <f>_xlfn.NORM.DIST('DATA SIAP'!J56,$C$5,$C$6, FALSE)</f>
        <v>7.5249151950046486E-2</v>
      </c>
      <c r="N57" s="7">
        <f>_xlfn.NORM.DIST('DATA SIAP'!K56,$D$5,$D$6, FALSE)</f>
        <v>0.21628328516595105</v>
      </c>
      <c r="O57" s="7">
        <f>_xlfn.NORM.DIST('DATA SIAP'!L56,$E$5,$E$6, FALSE)</f>
        <v>2.6192852497223997E-2</v>
      </c>
      <c r="T57" s="7">
        <f t="shared" si="0"/>
        <v>8.5818334777182807E-5</v>
      </c>
      <c r="U57" s="7">
        <f t="shared" si="1"/>
        <v>1.7717868101561208E-6</v>
      </c>
      <c r="W57" s="7" t="str">
        <f t="shared" si="2"/>
        <v>ANEMIA</v>
      </c>
    </row>
    <row r="58" spans="7:23" x14ac:dyDescent="0.25">
      <c r="G58" s="7">
        <f>_xlfn.NORM.DIST('DATA SIAP'!I57,$B$2,$B$3, FALSE)</f>
        <v>0.22233874452586838</v>
      </c>
      <c r="H58" s="7">
        <f>_xlfn.NORM.DIST('DATA SIAP'!J57,$C$2,$C$3, FALSE)</f>
        <v>5.3991747109504211E-2</v>
      </c>
      <c r="I58" s="7">
        <f>_xlfn.NORM.DIST('DATA SIAP'!K57,$D$2,$D$3, FALSE)</f>
        <v>0.26561722062877446</v>
      </c>
      <c r="J58" s="7">
        <f>_xlfn.NORM.DIST('DATA SIAP'!L57,$E$2,$E$3, FALSE)</f>
        <v>1.835201529199881E-2</v>
      </c>
      <c r="L58" s="7">
        <f>_xlfn.NORM.DIST('DATA SIAP'!I57,$B$5,$B$6, FALSE)</f>
        <v>4.9636214724807858E-2</v>
      </c>
      <c r="M58" s="7">
        <f>_xlfn.NORM.DIST('DATA SIAP'!J57,$C$5,$C$6, FALSE)</f>
        <v>5.5115893283898598E-2</v>
      </c>
      <c r="N58" s="7">
        <f>_xlfn.NORM.DIST('DATA SIAP'!K57,$D$5,$D$6, FALSE)</f>
        <v>0.25087690118257733</v>
      </c>
      <c r="O58" s="7">
        <f>_xlfn.NORM.DIST('DATA SIAP'!L57,$E$5,$E$6, FALSE)</f>
        <v>1.7665568105621001E-2</v>
      </c>
      <c r="T58" s="7">
        <f t="shared" si="0"/>
        <v>3.1731083448011981E-5</v>
      </c>
      <c r="U58" s="7">
        <f t="shared" si="1"/>
        <v>5.5499465755634684E-6</v>
      </c>
      <c r="W58" s="7" t="str">
        <f t="shared" si="2"/>
        <v>SEHAT</v>
      </c>
    </row>
    <row r="59" spans="7:23" x14ac:dyDescent="0.25">
      <c r="G59" s="7">
        <f>_xlfn.NORM.DIST('DATA SIAP'!I58,$B$2,$B$3, FALSE)</f>
        <v>2.6873756118412514E-3</v>
      </c>
      <c r="H59" s="7">
        <f>_xlfn.NORM.DIST('DATA SIAP'!J58,$C$2,$C$3, FALSE)</f>
        <v>2.9365752857096358E-2</v>
      </c>
      <c r="I59" s="7">
        <f>_xlfn.NORM.DIST('DATA SIAP'!K58,$D$2,$D$3, FALSE)</f>
        <v>0.26838104088565923</v>
      </c>
      <c r="J59" s="7">
        <f>_xlfn.NORM.DIST('DATA SIAP'!L58,$E$2,$E$3, FALSE)</f>
        <v>3.4426886940952979E-2</v>
      </c>
      <c r="L59" s="7">
        <f>_xlfn.NORM.DIST('DATA SIAP'!I58,$B$5,$B$6, FALSE)</f>
        <v>0.28605794420747072</v>
      </c>
      <c r="M59" s="7">
        <f>_xlfn.NORM.DIST('DATA SIAP'!J58,$C$5,$C$6, FALSE)</f>
        <v>3.2051590543602522E-2</v>
      </c>
      <c r="N59" s="7">
        <f>_xlfn.NORM.DIST('DATA SIAP'!K58,$D$5,$D$6, FALSE)</f>
        <v>0.28924177494405268</v>
      </c>
      <c r="O59" s="7">
        <f>_xlfn.NORM.DIST('DATA SIAP'!L58,$E$5,$E$6, FALSE)</f>
        <v>3.4419247053362058E-2</v>
      </c>
      <c r="T59" s="7">
        <f t="shared" si="0"/>
        <v>3.9538617341281541E-7</v>
      </c>
      <c r="U59" s="7">
        <f t="shared" si="1"/>
        <v>4.1782170312228636E-5</v>
      </c>
      <c r="W59" s="7" t="str">
        <f t="shared" si="2"/>
        <v>ANEMIA</v>
      </c>
    </row>
    <row r="60" spans="7:23" x14ac:dyDescent="0.25">
      <c r="G60" s="7">
        <f>_xlfn.NORM.DIST('DATA SIAP'!I59,$B$2,$B$3, FALSE)</f>
        <v>0.22233874452586838</v>
      </c>
      <c r="H60" s="7">
        <f>_xlfn.NORM.DIST('DATA SIAP'!J59,$C$2,$C$3, FALSE)</f>
        <v>9.0607953466535732E-2</v>
      </c>
      <c r="I60" s="7">
        <f>_xlfn.NORM.DIST('DATA SIAP'!K59,$D$2,$D$3, FALSE)</f>
        <v>0.21153935719650352</v>
      </c>
      <c r="J60" s="7">
        <f>_xlfn.NORM.DIST('DATA SIAP'!L59,$E$2,$E$3, FALSE)</f>
        <v>1.966525224092833E-2</v>
      </c>
      <c r="L60" s="7">
        <f>_xlfn.NORM.DIST('DATA SIAP'!I59,$B$5,$B$6, FALSE)</f>
        <v>4.9636214724807858E-2</v>
      </c>
      <c r="M60" s="7">
        <f>_xlfn.NORM.DIST('DATA SIAP'!J59,$C$5,$C$6, FALSE)</f>
        <v>8.5808856617558465E-2</v>
      </c>
      <c r="N60" s="7">
        <f>_xlfn.NORM.DIST('DATA SIAP'!K59,$D$5,$D$6, FALSE)</f>
        <v>0.24286362542611273</v>
      </c>
      <c r="O60" s="7">
        <f>_xlfn.NORM.DIST('DATA SIAP'!L59,$E$5,$E$6, FALSE)</f>
        <v>1.8832721848194078E-2</v>
      </c>
      <c r="T60" s="7">
        <f t="shared" si="0"/>
        <v>4.5443790887180099E-5</v>
      </c>
      <c r="U60" s="7">
        <f t="shared" si="1"/>
        <v>8.9172583247802657E-6</v>
      </c>
      <c r="W60" s="7" t="str">
        <f t="shared" si="2"/>
        <v>SEHAT</v>
      </c>
    </row>
    <row r="61" spans="7:23" x14ac:dyDescent="0.25">
      <c r="G61" s="7">
        <f>_xlfn.NORM.DIST('DATA SIAP'!I60,$B$2,$B$3, FALSE)</f>
        <v>5.4227430483013976E-2</v>
      </c>
      <c r="H61" s="7">
        <f>_xlfn.NORM.DIST('DATA SIAP'!J60,$C$2,$C$3, FALSE)</f>
        <v>8.9354507034905398E-2</v>
      </c>
      <c r="I61" s="7">
        <f>_xlfn.NORM.DIST('DATA SIAP'!K60,$D$2,$D$3, FALSE)</f>
        <v>0.26124555659402876</v>
      </c>
      <c r="J61" s="7">
        <f>_xlfn.NORM.DIST('DATA SIAP'!L60,$E$2,$E$3, FALSE)</f>
        <v>1.7581915684945645E-2</v>
      </c>
      <c r="L61" s="7">
        <f>_xlfn.NORM.DIST('DATA SIAP'!I60,$B$5,$B$6, FALSE)</f>
        <v>0.23764944520286474</v>
      </c>
      <c r="M61" s="7">
        <f>_xlfn.NORM.DIST('DATA SIAP'!J60,$C$5,$C$6, FALSE)</f>
        <v>8.4765481228408129E-2</v>
      </c>
      <c r="N61" s="7">
        <f>_xlfn.NORM.DIST('DATA SIAP'!K60,$D$5,$D$6, FALSE)</f>
        <v>0.28477087548562913</v>
      </c>
      <c r="O61" s="7">
        <f>_xlfn.NORM.DIST('DATA SIAP'!L60,$E$5,$E$6, FALSE)</f>
        <v>1.697932705402716E-2</v>
      </c>
      <c r="T61" s="7">
        <f t="shared" si="0"/>
        <v>1.2068491134845651E-5</v>
      </c>
      <c r="U61" s="7">
        <f t="shared" si="1"/>
        <v>4.4585833832410448E-5</v>
      </c>
      <c r="W61" s="7" t="str">
        <f t="shared" si="2"/>
        <v>SEHAT</v>
      </c>
    </row>
    <row r="62" spans="7:23" x14ac:dyDescent="0.25">
      <c r="G62" s="7">
        <f>_xlfn.NORM.DIST('DATA SIAP'!I61,$B$2,$B$3, FALSE)</f>
        <v>5.4227430483013976E-2</v>
      </c>
      <c r="H62" s="7">
        <f>_xlfn.NORM.DIST('DATA SIAP'!J61,$C$2,$C$3, FALSE)</f>
        <v>0.10381084285026893</v>
      </c>
      <c r="I62" s="7">
        <f>_xlfn.NORM.DIST('DATA SIAP'!K61,$D$2,$D$3, FALSE)</f>
        <v>9.470219971360351E-2</v>
      </c>
      <c r="J62" s="7">
        <f>_xlfn.NORM.DIST('DATA SIAP'!L61,$E$2,$E$3, FALSE)</f>
        <v>2.4878386214601155E-2</v>
      </c>
      <c r="L62" s="7">
        <f>_xlfn.NORM.DIST('DATA SIAP'!I61,$B$5,$B$6, FALSE)</f>
        <v>0.23764944520286474</v>
      </c>
      <c r="M62" s="7">
        <f>_xlfn.NORM.DIST('DATA SIAP'!J61,$C$5,$C$6, FALSE)</f>
        <v>9.6825929758144746E-2</v>
      </c>
      <c r="N62" s="7">
        <f>_xlfn.NORM.DIST('DATA SIAP'!K61,$D$5,$D$6, FALSE)</f>
        <v>0.1176432423163154</v>
      </c>
      <c r="O62" s="7">
        <f>_xlfn.NORM.DIST('DATA SIAP'!L61,$E$5,$E$6, FALSE)</f>
        <v>2.641493544589664E-2</v>
      </c>
      <c r="T62" s="7">
        <f t="shared" si="0"/>
        <v>7.1919456467544992E-6</v>
      </c>
      <c r="U62" s="7">
        <f t="shared" si="1"/>
        <v>3.2731810791322524E-5</v>
      </c>
      <c r="W62" s="7" t="str">
        <f t="shared" si="2"/>
        <v>ANEMIA</v>
      </c>
    </row>
    <row r="63" spans="7:23" x14ac:dyDescent="0.25">
      <c r="G63" s="7">
        <f>_xlfn.NORM.DIST('DATA SIAP'!I62,$B$2,$B$3, FALSE)</f>
        <v>0.14969315057709329</v>
      </c>
      <c r="H63" s="7">
        <f>_xlfn.NORM.DIST('DATA SIAP'!J62,$C$2,$C$3, FALSE)</f>
        <v>5.7029402346429989E-2</v>
      </c>
      <c r="I63" s="7">
        <f>_xlfn.NORM.DIST('DATA SIAP'!K62,$D$2,$D$3, FALSE)</f>
        <v>0.26561722062877446</v>
      </c>
      <c r="J63" s="7">
        <f>_xlfn.NORM.DIST('DATA SIAP'!L62,$E$2,$E$3, FALSE)</f>
        <v>2.2383620108791514E-2</v>
      </c>
      <c r="L63" s="7">
        <f>_xlfn.NORM.DIST('DATA SIAP'!I62,$B$5,$B$6, FALSE)</f>
        <v>8.3750476964686594E-5</v>
      </c>
      <c r="M63" s="7">
        <f>_xlfn.NORM.DIST('DATA SIAP'!J62,$C$5,$C$6, FALSE)</f>
        <v>5.7217528909234483E-2</v>
      </c>
      <c r="N63" s="7">
        <f>_xlfn.NORM.DIST('DATA SIAP'!K62,$D$5,$D$6, FALSE)</f>
        <v>0.25087690118257733</v>
      </c>
      <c r="O63" s="7">
        <f>_xlfn.NORM.DIST('DATA SIAP'!L62,$E$5,$E$6, FALSE)</f>
        <v>2.1239047260387549E-2</v>
      </c>
      <c r="T63" s="7">
        <f t="shared" si="0"/>
        <v>2.7522614336632023E-5</v>
      </c>
      <c r="U63" s="7">
        <f t="shared" si="1"/>
        <v>1.1687916680300853E-8</v>
      </c>
      <c r="W63" s="7" t="str">
        <f t="shared" si="2"/>
        <v>SEHAT</v>
      </c>
    </row>
    <row r="64" spans="7:23" x14ac:dyDescent="0.25">
      <c r="G64" s="7">
        <f>_xlfn.NORM.DIST('DATA SIAP'!I63,$B$2,$B$3, FALSE)</f>
        <v>1.0054188033119906E-3</v>
      </c>
      <c r="H64" s="7">
        <f>_xlfn.NORM.DIST('DATA SIAP'!J63,$C$2,$C$3, FALSE)</f>
        <v>2.2757976305560857E-2</v>
      </c>
      <c r="I64" s="7">
        <f>_xlfn.NORM.DIST('DATA SIAP'!K63,$D$2,$D$3, FALSE)</f>
        <v>0.12248570720321851</v>
      </c>
      <c r="J64" s="7">
        <f>_xlfn.NORM.DIST('DATA SIAP'!L63,$E$2,$E$3, FALSE)</f>
        <v>1.1202340112648326E-2</v>
      </c>
      <c r="L64" s="7">
        <f>_xlfn.NORM.DIST('DATA SIAP'!I63,$B$5,$B$6, FALSE)</f>
        <v>0.22932569914643791</v>
      </c>
      <c r="M64" s="7">
        <f>_xlfn.NORM.DIST('DATA SIAP'!J63,$C$5,$C$6, FALSE)</f>
        <v>2.6070373954777064E-2</v>
      </c>
      <c r="N64" s="7">
        <f>_xlfn.NORM.DIST('DATA SIAP'!K63,$D$5,$D$6, FALSE)</f>
        <v>9.2733895700821981E-2</v>
      </c>
      <c r="O64" s="7">
        <f>_xlfn.NORM.DIST('DATA SIAP'!L63,$E$5,$E$6, FALSE)</f>
        <v>1.1218656239003493E-2</v>
      </c>
      <c r="T64" s="7">
        <f t="shared" si="0"/>
        <v>1.7024610827137864E-8</v>
      </c>
      <c r="U64" s="7">
        <f t="shared" si="1"/>
        <v>2.8471106408987289E-6</v>
      </c>
      <c r="W64" s="7" t="str">
        <f t="shared" si="2"/>
        <v>SEHAT</v>
      </c>
    </row>
    <row r="65" spans="7:23" x14ac:dyDescent="0.25">
      <c r="G65" s="7">
        <f>_xlfn.NORM.DIST('DATA SIAP'!I64,$B$2,$B$3, FALSE)</f>
        <v>1.2010622387859344E-2</v>
      </c>
      <c r="H65" s="7">
        <f>_xlfn.NORM.DIST('DATA SIAP'!J64,$C$2,$C$3, FALSE)</f>
        <v>7.3500308296642849E-2</v>
      </c>
      <c r="I65" s="7">
        <f>_xlfn.NORM.DIST('DATA SIAP'!K64,$D$2,$D$3, FALSE)</f>
        <v>0.15805433943805822</v>
      </c>
      <c r="J65" s="7">
        <f>_xlfn.NORM.DIST('DATA SIAP'!L64,$E$2,$E$3, FALSE)</f>
        <v>3.6813596811928292E-2</v>
      </c>
      <c r="L65" s="7">
        <f>_xlfn.NORM.DIST('DATA SIAP'!I64,$B$5,$B$6, FALSE)</f>
        <v>0.3255971339791599</v>
      </c>
      <c r="M65" s="7">
        <f>_xlfn.NORM.DIST('DATA SIAP'!J64,$C$5,$C$6, FALSE)</f>
        <v>7.197283357529842E-2</v>
      </c>
      <c r="N65" s="7">
        <f>_xlfn.NORM.DIST('DATA SIAP'!K64,$D$5,$D$6, FALSE)</f>
        <v>0.12655751590758546</v>
      </c>
      <c r="O65" s="7">
        <f>_xlfn.NORM.DIST('DATA SIAP'!L64,$E$5,$E$6, FALSE)</f>
        <v>3.4038616141987908E-2</v>
      </c>
      <c r="T65" s="7">
        <f t="shared" si="0"/>
        <v>2.7852984030106519E-6</v>
      </c>
      <c r="U65" s="7">
        <f t="shared" si="1"/>
        <v>4.6209793102907178E-5</v>
      </c>
      <c r="W65" s="7" t="str">
        <f t="shared" si="2"/>
        <v>SEHAT</v>
      </c>
    </row>
    <row r="66" spans="7:23" x14ac:dyDescent="0.25">
      <c r="G66" s="7">
        <f>_xlfn.NORM.DIST('DATA SIAP'!I65,$B$2,$B$3, FALSE)</f>
        <v>5.2858549075253704E-3</v>
      </c>
      <c r="H66" s="7">
        <f>_xlfn.NORM.DIST('DATA SIAP'!J65,$C$2,$C$3, FALSE)</f>
        <v>0.10380231782061897</v>
      </c>
      <c r="I66" s="7">
        <f>_xlfn.NORM.DIST('DATA SIAP'!K65,$D$2,$D$3, FALSE)</f>
        <v>9.0673112978836873E-2</v>
      </c>
      <c r="J66" s="7">
        <f>_xlfn.NORM.DIST('DATA SIAP'!L65,$E$2,$E$3, FALSE)</f>
        <v>1.9931989266752426E-2</v>
      </c>
      <c r="L66" s="7">
        <f>_xlfn.NORM.DIST('DATA SIAP'!I65,$B$5,$B$6, FALSE)</f>
        <v>0.31475359474046671</v>
      </c>
      <c r="M66" s="7">
        <f>_xlfn.NORM.DIST('DATA SIAP'!J65,$C$5,$C$6, FALSE)</f>
        <v>9.6796090152300798E-2</v>
      </c>
      <c r="N66" s="7">
        <f>_xlfn.NORM.DIST('DATA SIAP'!K65,$D$5,$D$6, FALSE)</f>
        <v>6.4715088889354178E-2</v>
      </c>
      <c r="O66" s="7">
        <f>_xlfn.NORM.DIST('DATA SIAP'!L65,$E$5,$E$6, FALSE)</f>
        <v>1.9069364832989037E-2</v>
      </c>
      <c r="T66" s="7">
        <f t="shared" si="0"/>
        <v>5.3771709108467779E-7</v>
      </c>
      <c r="U66" s="7">
        <f t="shared" si="1"/>
        <v>1.7210572065651692E-5</v>
      </c>
      <c r="W66" s="7" t="str">
        <f t="shared" si="2"/>
        <v>ANEMIA</v>
      </c>
    </row>
    <row r="67" spans="7:23" x14ac:dyDescent="0.25">
      <c r="G67" s="7">
        <f>_xlfn.NORM.DIST('DATA SIAP'!I66,$B$2,$B$3, FALSE)</f>
        <v>0.11112255931408969</v>
      </c>
      <c r="H67" s="7">
        <f>_xlfn.NORM.DIST('DATA SIAP'!J66,$C$2,$C$3, FALSE)</f>
        <v>0.10298716609708776</v>
      </c>
      <c r="I67" s="7">
        <f>_xlfn.NORM.DIST('DATA SIAP'!K66,$D$2,$D$3, FALSE)</f>
        <v>0.27722454854897127</v>
      </c>
      <c r="J67" s="7">
        <f>_xlfn.NORM.DIST('DATA SIAP'!L66,$E$2,$E$3, FALSE)</f>
        <v>3.3174881900893648E-2</v>
      </c>
      <c r="L67" s="7">
        <f>_xlfn.NORM.DIST('DATA SIAP'!I66,$B$5,$B$6, FALSE)</f>
        <v>2.9974745226935406E-5</v>
      </c>
      <c r="M67" s="7">
        <f>_xlfn.NORM.DIST('DATA SIAP'!J66,$C$5,$C$6, FALSE)</f>
        <v>9.6202969642376596E-2</v>
      </c>
      <c r="N67" s="7">
        <f>_xlfn.NORM.DIST('DATA SIAP'!K66,$D$5,$D$6, FALSE)</f>
        <v>0.26955695164547089</v>
      </c>
      <c r="O67" s="7">
        <f>_xlfn.NORM.DIST('DATA SIAP'!L66,$E$5,$E$6, FALSE)</f>
        <v>3.0770459100540219E-2</v>
      </c>
      <c r="T67" s="7">
        <f t="shared" ref="T67:T130" si="4">$R$2 * G67 * H67 * I67 * J67</f>
        <v>5.7072749360665606E-5</v>
      </c>
      <c r="U67" s="7">
        <f t="shared" ref="U67:U130" si="5">$R$3 * L67 * M67 * N67 * O67</f>
        <v>1.0948471783239041E-8</v>
      </c>
      <c r="W67" s="7" t="str">
        <f t="shared" si="2"/>
        <v>SEHAT</v>
      </c>
    </row>
    <row r="68" spans="7:23" x14ac:dyDescent="0.25">
      <c r="G68" s="7">
        <f>_xlfn.NORM.DIST('DATA SIAP'!I67,$B$2,$B$3, FALSE)</f>
        <v>1.0054188033119906E-3</v>
      </c>
      <c r="H68" s="7">
        <f>_xlfn.NORM.DIST('DATA SIAP'!J67,$C$2,$C$3, FALSE)</f>
        <v>5.722644866598825E-2</v>
      </c>
      <c r="I68" s="7">
        <f>_xlfn.NORM.DIST('DATA SIAP'!K67,$D$2,$D$3, FALSE)</f>
        <v>0.27722454854897127</v>
      </c>
      <c r="J68" s="7">
        <f>_xlfn.NORM.DIST('DATA SIAP'!L67,$E$2,$E$3, FALSE)</f>
        <v>2.2362057220977592E-2</v>
      </c>
      <c r="L68" s="7">
        <f>_xlfn.NORM.DIST('DATA SIAP'!I67,$B$5,$B$6, FALSE)</f>
        <v>0.22932569914643791</v>
      </c>
      <c r="M68" s="7">
        <f>_xlfn.NORM.DIST('DATA SIAP'!J67,$C$5,$C$6, FALSE)</f>
        <v>5.7963051533191104E-2</v>
      </c>
      <c r="N68" s="7">
        <f>_xlfn.NORM.DIST('DATA SIAP'!K67,$D$5,$D$6, FALSE)</f>
        <v>0.26955695164547089</v>
      </c>
      <c r="O68" s="7">
        <f>_xlfn.NORM.DIST('DATA SIAP'!L67,$E$5,$E$6, FALSE)</f>
        <v>2.4179598330061738E-2</v>
      </c>
      <c r="T68" s="7">
        <f t="shared" si="4"/>
        <v>1.9341476247569121E-7</v>
      </c>
      <c r="U68" s="7">
        <f t="shared" si="5"/>
        <v>3.9657798182868775E-5</v>
      </c>
      <c r="W68" s="7" t="str">
        <f t="shared" ref="W68:W131" si="6">IF(T69&gt;U69, "ANEMIA", "SEHAT")</f>
        <v>ANEMIA</v>
      </c>
    </row>
    <row r="69" spans="7:23" x14ac:dyDescent="0.25">
      <c r="G69" s="7">
        <f>_xlfn.NORM.DIST('DATA SIAP'!I68,$B$2,$B$3, FALSE)</f>
        <v>0.16341699682690056</v>
      </c>
      <c r="H69" s="7">
        <f>_xlfn.NORM.DIST('DATA SIAP'!J68,$C$2,$C$3, FALSE)</f>
        <v>3.4624801075578519E-2</v>
      </c>
      <c r="I69" s="7">
        <f>_xlfn.NORM.DIST('DATA SIAP'!K68,$D$2,$D$3, FALSE)</f>
        <v>0.24378919066312044</v>
      </c>
      <c r="J69" s="7">
        <f>_xlfn.NORM.DIST('DATA SIAP'!L68,$E$2,$E$3, FALSE)</f>
        <v>1.351922151716144E-2</v>
      </c>
      <c r="L69" s="7">
        <f>_xlfn.NORM.DIST('DATA SIAP'!I68,$B$5,$B$6, FALSE)</f>
        <v>1.1639241761785992E-4</v>
      </c>
      <c r="M69" s="7">
        <f>_xlfn.NORM.DIST('DATA SIAP'!J68,$C$5,$C$6, FALSE)</f>
        <v>3.7509570854176257E-2</v>
      </c>
      <c r="N69" s="7">
        <f>_xlfn.NORM.DIST('DATA SIAP'!K68,$D$5,$D$6, FALSE)</f>
        <v>0.27158357669282918</v>
      </c>
      <c r="O69" s="7">
        <f>_xlfn.NORM.DIST('DATA SIAP'!L68,$E$5,$E$6, FALSE)</f>
        <v>1.3329757442791653E-2</v>
      </c>
      <c r="T69" s="7">
        <f t="shared" si="4"/>
        <v>1.0112371653738671E-5</v>
      </c>
      <c r="U69" s="7">
        <f t="shared" si="5"/>
        <v>7.2346503603175232E-9</v>
      </c>
      <c r="W69" s="7" t="str">
        <f t="shared" si="6"/>
        <v>SEHAT</v>
      </c>
    </row>
    <row r="70" spans="7:23" x14ac:dyDescent="0.25">
      <c r="G70" s="7">
        <f>_xlfn.NORM.DIST('DATA SIAP'!I69,$B$2,$B$3, FALSE)</f>
        <v>1.2010622387859344E-2</v>
      </c>
      <c r="H70" s="7">
        <f>_xlfn.NORM.DIST('DATA SIAP'!J69,$C$2,$C$3, FALSE)</f>
        <v>9.6161656224035566E-2</v>
      </c>
      <c r="I70" s="7">
        <f>_xlfn.NORM.DIST('DATA SIAP'!K69,$D$2,$D$3, FALSE)</f>
        <v>6.7385222064391778E-2</v>
      </c>
      <c r="J70" s="7">
        <f>_xlfn.NORM.DIST('DATA SIAP'!L69,$E$2,$E$3, FALSE)</f>
        <v>2.628915142917777E-2</v>
      </c>
      <c r="L70" s="7">
        <f>_xlfn.NORM.DIST('DATA SIAP'!I69,$B$5,$B$6, FALSE)</f>
        <v>0.3255971339791599</v>
      </c>
      <c r="M70" s="7">
        <f>_xlfn.NORM.DIST('DATA SIAP'!J69,$C$5,$C$6, FALSE)</f>
        <v>9.0418829930510661E-2</v>
      </c>
      <c r="N70" s="7">
        <f>_xlfn.NORM.DIST('DATA SIAP'!K69,$D$5,$D$6, FALSE)</f>
        <v>8.5159033170030513E-2</v>
      </c>
      <c r="O70" s="7">
        <f>_xlfn.NORM.DIST('DATA SIAP'!L69,$E$5,$E$6, FALSE)</f>
        <v>2.7645233928289638E-2</v>
      </c>
      <c r="T70" s="7">
        <f t="shared" si="4"/>
        <v>1.1094584965486251E-6</v>
      </c>
      <c r="U70" s="7">
        <f t="shared" si="5"/>
        <v>3.1726010216999739E-5</v>
      </c>
      <c r="W70" s="7" t="str">
        <f t="shared" si="6"/>
        <v>ANEMIA</v>
      </c>
    </row>
    <row r="71" spans="7:23" x14ac:dyDescent="0.25">
      <c r="G71" s="7">
        <f>_xlfn.NORM.DIST('DATA SIAP'!I70,$B$2,$B$3, FALSE)</f>
        <v>0.20874557925923554</v>
      </c>
      <c r="H71" s="7">
        <f>_xlfn.NORM.DIST('DATA SIAP'!J70,$C$2,$C$3, FALSE)</f>
        <v>3.3144951896646423E-2</v>
      </c>
      <c r="I71" s="7">
        <f>_xlfn.NORM.DIST('DATA SIAP'!K70,$D$2,$D$3, FALSE)</f>
        <v>0.28106392084554088</v>
      </c>
      <c r="J71" s="7">
        <f>_xlfn.NORM.DIST('DATA SIAP'!L70,$E$2,$E$3, FALSE)</f>
        <v>3.1298412176428786E-2</v>
      </c>
      <c r="L71" s="7">
        <f>_xlfn.NORM.DIST('DATA SIAP'!I70,$B$5,$B$6, FALSE)</f>
        <v>5.7976390272245056E-2</v>
      </c>
      <c r="M71" s="7">
        <f>_xlfn.NORM.DIST('DATA SIAP'!J70,$C$5,$C$6, FALSE)</f>
        <v>3.5622983840056598E-2</v>
      </c>
      <c r="N71" s="7">
        <f>_xlfn.NORM.DIST('DATA SIAP'!K70,$D$5,$D$6, FALSE)</f>
        <v>0.27714999836250115</v>
      </c>
      <c r="O71" s="7">
        <f>_xlfn.NORM.DIST('DATA SIAP'!L70,$E$5,$E$6, FALSE)</f>
        <v>3.1882438271472101E-2</v>
      </c>
      <c r="T71" s="7">
        <f t="shared" si="4"/>
        <v>3.3003839521697612E-5</v>
      </c>
      <c r="U71" s="7">
        <f t="shared" si="5"/>
        <v>8.3535848033984417E-6</v>
      </c>
      <c r="W71" s="7" t="str">
        <f t="shared" si="6"/>
        <v>SEHAT</v>
      </c>
    </row>
    <row r="72" spans="7:23" x14ac:dyDescent="0.25">
      <c r="G72" s="7">
        <f>_xlfn.NORM.DIST('DATA SIAP'!I71,$B$2,$B$3, FALSE)</f>
        <v>6.5464560736304186E-3</v>
      </c>
      <c r="H72" s="7">
        <f>_xlfn.NORM.DIST('DATA SIAP'!J71,$C$2,$C$3, FALSE)</f>
        <v>2.2757976305560857E-2</v>
      </c>
      <c r="I72" s="7">
        <f>_xlfn.NORM.DIST('DATA SIAP'!K71,$D$2,$D$3, FALSE)</f>
        <v>0.28223010825692313</v>
      </c>
      <c r="J72" s="7">
        <f>_xlfn.NORM.DIST('DATA SIAP'!L71,$E$2,$E$3, FALSE)</f>
        <v>1.9115219473705897E-2</v>
      </c>
      <c r="L72" s="7">
        <f>_xlfn.NORM.DIST('DATA SIAP'!I71,$B$5,$B$6, FALSE)</f>
        <v>0.32062919492472447</v>
      </c>
      <c r="M72" s="7">
        <f>_xlfn.NORM.DIST('DATA SIAP'!J71,$C$5,$C$6, FALSE)</f>
        <v>2.6070373954777064E-2</v>
      </c>
      <c r="N72" s="7">
        <f>_xlfn.NORM.DIST('DATA SIAP'!K71,$D$5,$D$6, FALSE)</f>
        <v>0.29338304844726315</v>
      </c>
      <c r="O72" s="7">
        <f>_xlfn.NORM.DIST('DATA SIAP'!L71,$E$5,$E$6, FALSE)</f>
        <v>2.1213976632595485E-2</v>
      </c>
      <c r="T72" s="7">
        <f t="shared" si="4"/>
        <v>4.3583781734553315E-7</v>
      </c>
      <c r="U72" s="7">
        <f t="shared" si="5"/>
        <v>2.3814005005376985E-5</v>
      </c>
      <c r="W72" s="7" t="str">
        <f t="shared" si="6"/>
        <v>SEHAT</v>
      </c>
    </row>
    <row r="73" spans="7:23" x14ac:dyDescent="0.25">
      <c r="G73" s="7">
        <f>_xlfn.NORM.DIST('DATA SIAP'!I72,$B$2,$B$3, FALSE)</f>
        <v>8.0741245945897683E-2</v>
      </c>
      <c r="H73" s="7">
        <f>_xlfn.NORM.DIST('DATA SIAP'!J72,$C$2,$C$3, FALSE)</f>
        <v>0.10216163444040036</v>
      </c>
      <c r="I73" s="7">
        <f>_xlfn.NORM.DIST('DATA SIAP'!K72,$D$2,$D$3, FALSE)</f>
        <v>0.27895172274462349</v>
      </c>
      <c r="J73" s="7">
        <f>_xlfn.NORM.DIST('DATA SIAP'!L72,$E$2,$E$3, FALSE)</f>
        <v>9.6704989457077634E-3</v>
      </c>
      <c r="L73" s="7">
        <f>_xlfn.NORM.DIST('DATA SIAP'!I72,$B$5,$B$6, FALSE)</f>
        <v>0.18971286532748305</v>
      </c>
      <c r="M73" s="7">
        <f>_xlfn.NORM.DIST('DATA SIAP'!J72,$C$5,$C$6, FALSE)</f>
        <v>9.5554560660704488E-2</v>
      </c>
      <c r="N73" s="7">
        <f>_xlfn.NORM.DIST('DATA SIAP'!K72,$D$5,$D$6, FALSE)</f>
        <v>0.29358288989759423</v>
      </c>
      <c r="O73" s="7">
        <f>_xlfn.NORM.DIST('DATA SIAP'!L72,$E$5,$E$6, FALSE)</f>
        <v>1.194236375108941E-2</v>
      </c>
      <c r="T73" s="7">
        <f t="shared" si="4"/>
        <v>1.2066007469927909E-5</v>
      </c>
      <c r="U73" s="7">
        <f t="shared" si="5"/>
        <v>2.909338486393916E-5</v>
      </c>
      <c r="W73" s="7" t="str">
        <f t="shared" si="6"/>
        <v>SEHAT</v>
      </c>
    </row>
    <row r="74" spans="7:23" x14ac:dyDescent="0.25">
      <c r="G74" s="7">
        <f>_xlfn.NORM.DIST('DATA SIAP'!I73,$B$2,$B$3, FALSE)</f>
        <v>6.5464560736304186E-3</v>
      </c>
      <c r="H74" s="7">
        <f>_xlfn.NORM.DIST('DATA SIAP'!J73,$C$2,$C$3, FALSE)</f>
        <v>5.3797001958017156E-2</v>
      </c>
      <c r="I74" s="7">
        <f>_xlfn.NORM.DIST('DATA SIAP'!K73,$D$2,$D$3, FALSE)</f>
        <v>0.23978470508171501</v>
      </c>
      <c r="J74" s="7">
        <f>_xlfn.NORM.DIST('DATA SIAP'!L73,$E$2,$E$3, FALSE)</f>
        <v>2.9399267822573707E-2</v>
      </c>
      <c r="L74" s="7">
        <f>_xlfn.NORM.DIST('DATA SIAP'!I73,$B$5,$B$6, FALSE)</f>
        <v>0.32062919492472447</v>
      </c>
      <c r="M74" s="7">
        <f>_xlfn.NORM.DIST('DATA SIAP'!J73,$C$5,$C$6, FALSE)</f>
        <v>5.43734620098731E-2</v>
      </c>
      <c r="N74" s="7">
        <f>_xlfn.NORM.DIST('DATA SIAP'!K73,$D$5,$D$6, FALSE)</f>
        <v>0.21628328516595105</v>
      </c>
      <c r="O74" s="7">
        <f>_xlfn.NORM.DIST('DATA SIAP'!L73,$E$5,$E$6, FALSE)</f>
        <v>2.7425457560548129E-2</v>
      </c>
      <c r="T74" s="7">
        <f t="shared" si="4"/>
        <v>1.3462468647366795E-6</v>
      </c>
      <c r="U74" s="7">
        <f t="shared" si="5"/>
        <v>4.7336037699047472E-5</v>
      </c>
      <c r="W74" s="7" t="str">
        <f t="shared" si="6"/>
        <v>SEHAT</v>
      </c>
    </row>
    <row r="75" spans="7:23" x14ac:dyDescent="0.25">
      <c r="G75" s="7">
        <f>_xlfn.NORM.DIST('DATA SIAP'!I74,$B$2,$B$3, FALSE)</f>
        <v>2.1201250670888029E-3</v>
      </c>
      <c r="H75" s="7">
        <f>_xlfn.NORM.DIST('DATA SIAP'!J74,$C$2,$C$3, FALSE)</f>
        <v>9.5153178986108602E-2</v>
      </c>
      <c r="I75" s="7">
        <f>_xlfn.NORM.DIST('DATA SIAP'!K74,$D$2,$D$3, FALSE)</f>
        <v>0.18263025300630079</v>
      </c>
      <c r="J75" s="7">
        <f>_xlfn.NORM.DIST('DATA SIAP'!L74,$E$2,$E$3, FALSE)</f>
        <v>3.102736941666151E-2</v>
      </c>
      <c r="L75" s="7">
        <f>_xlfn.NORM.DIST('DATA SIAP'!I74,$B$5,$B$6, FALSE)</f>
        <v>0.27340634464238739</v>
      </c>
      <c r="M75" s="7">
        <f>_xlfn.NORM.DIST('DATA SIAP'!J74,$C$5,$C$6, FALSE)</f>
        <v>8.9582947768660035E-2</v>
      </c>
      <c r="N75" s="7">
        <f>_xlfn.NORM.DIST('DATA SIAP'!K74,$D$5,$D$6, FALSE)</f>
        <v>0.15154872267578176</v>
      </c>
      <c r="O75" s="7">
        <f>_xlfn.NORM.DIST('DATA SIAP'!L74,$E$5,$E$6, FALSE)</f>
        <v>3.1658509090461556E-2</v>
      </c>
      <c r="T75" s="7">
        <f t="shared" si="4"/>
        <v>6.1987602756130306E-7</v>
      </c>
      <c r="U75" s="7">
        <f t="shared" si="5"/>
        <v>5.3790017882041976E-5</v>
      </c>
      <c r="W75" s="7" t="str">
        <f t="shared" si="6"/>
        <v>SEHAT</v>
      </c>
    </row>
    <row r="76" spans="7:23" x14ac:dyDescent="0.25">
      <c r="G76" s="7">
        <f>_xlfn.NORM.DIST('DATA SIAP'!I75,$B$2,$B$3, FALSE)</f>
        <v>3.4567812457190553E-2</v>
      </c>
      <c r="H76" s="7">
        <f>_xlfn.NORM.DIST('DATA SIAP'!J75,$C$2,$C$3, FALSE)</f>
        <v>6.6843499297558159E-2</v>
      </c>
      <c r="I76" s="7">
        <f>_xlfn.NORM.DIST('DATA SIAP'!K75,$D$2,$D$3, FALSE)</f>
        <v>0.28223010825692313</v>
      </c>
      <c r="J76" s="7">
        <f>_xlfn.NORM.DIST('DATA SIAP'!L75,$E$2,$E$3, FALSE)</f>
        <v>4.1546467345609676E-2</v>
      </c>
      <c r="L76" s="7">
        <f>_xlfn.NORM.DIST('DATA SIAP'!I75,$B$5,$B$6, FALSE)</f>
        <v>0.28031571355468393</v>
      </c>
      <c r="M76" s="7">
        <f>_xlfn.NORM.DIST('DATA SIAP'!J75,$C$5,$C$6, FALSE)</f>
        <v>6.5737562361085577E-2</v>
      </c>
      <c r="N76" s="7">
        <f>_xlfn.NORM.DIST('DATA SIAP'!K75,$D$5,$D$6, FALSE)</f>
        <v>0.29338304844726315</v>
      </c>
      <c r="O76" s="7">
        <f>_xlfn.NORM.DIST('DATA SIAP'!L75,$E$5,$E$6, FALSE)</f>
        <v>3.9704809183221605E-2</v>
      </c>
      <c r="T76" s="7">
        <f t="shared" si="4"/>
        <v>1.4691661032529152E-5</v>
      </c>
      <c r="U76" s="7">
        <f t="shared" si="5"/>
        <v>9.8257154213024828E-5</v>
      </c>
      <c r="W76" s="7" t="str">
        <f t="shared" si="6"/>
        <v>ANEMIA</v>
      </c>
    </row>
    <row r="77" spans="7:23" x14ac:dyDescent="0.25">
      <c r="G77" s="7">
        <f>_xlfn.NORM.DIST('DATA SIAP'!I76,$B$2,$B$3, FALSE)</f>
        <v>0.12343957965000014</v>
      </c>
      <c r="H77" s="7">
        <f>_xlfn.NORM.DIST('DATA SIAP'!J76,$C$2,$C$3, FALSE)</f>
        <v>9.6161656224035566E-2</v>
      </c>
      <c r="I77" s="7">
        <f>_xlfn.NORM.DIST('DATA SIAP'!K76,$D$2,$D$3, FALSE)</f>
        <v>0.18263025300630079</v>
      </c>
      <c r="J77" s="7">
        <f>_xlfn.NORM.DIST('DATA SIAP'!L76,$E$2,$E$3, FALSE)</f>
        <v>3.1298412176428786E-2</v>
      </c>
      <c r="L77" s="7">
        <f>_xlfn.NORM.DIST('DATA SIAP'!I76,$B$5,$B$6, FALSE)</f>
        <v>4.2501347029991324E-5</v>
      </c>
      <c r="M77" s="7">
        <f>_xlfn.NORM.DIST('DATA SIAP'!J76,$C$5,$C$6, FALSE)</f>
        <v>9.0418829930510661E-2</v>
      </c>
      <c r="N77" s="7">
        <f>_xlfn.NORM.DIST('DATA SIAP'!K76,$D$5,$D$6, FALSE)</f>
        <v>0.15154872267578176</v>
      </c>
      <c r="O77" s="7">
        <f>_xlfn.NORM.DIST('DATA SIAP'!L76,$E$5,$E$6, FALSE)</f>
        <v>3.1882438271472101E-2</v>
      </c>
      <c r="T77" s="7">
        <f t="shared" si="4"/>
        <v>3.6792032144874141E-5</v>
      </c>
      <c r="U77" s="7">
        <f t="shared" si="5"/>
        <v>8.4994416647509794E-9</v>
      </c>
      <c r="W77" s="7" t="str">
        <f t="shared" si="6"/>
        <v>ANEMIA</v>
      </c>
    </row>
    <row r="78" spans="7:23" x14ac:dyDescent="0.25">
      <c r="G78" s="7">
        <f>_xlfn.NORM.DIST('DATA SIAP'!I77,$B$2,$B$3, FALSE)</f>
        <v>0.13958651423065163</v>
      </c>
      <c r="H78" s="7">
        <f>_xlfn.NORM.DIST('DATA SIAP'!J77,$C$2,$C$3, FALSE)</f>
        <v>8.1028568636010212E-2</v>
      </c>
      <c r="I78" s="7">
        <f>_xlfn.NORM.DIST('DATA SIAP'!K77,$D$2,$D$3, FALSE)</f>
        <v>0.14591803167133907</v>
      </c>
      <c r="J78" s="7">
        <f>_xlfn.NORM.DIST('DATA SIAP'!L77,$E$2,$E$3, FALSE)</f>
        <v>4.300270231425251E-2</v>
      </c>
      <c r="L78" s="7">
        <f>_xlfn.NORM.DIST('DATA SIAP'!I77,$B$5,$B$6, FALSE)</f>
        <v>0.11401573380622193</v>
      </c>
      <c r="M78" s="7">
        <f>_xlfn.NORM.DIST('DATA SIAP'!J77,$C$5,$C$6, FALSE)</f>
        <v>7.7797640347285577E-2</v>
      </c>
      <c r="N78" s="7">
        <f>_xlfn.NORM.DIST('DATA SIAP'!K77,$D$5,$D$6, FALSE)</f>
        <v>0.11471631470308251</v>
      </c>
      <c r="O78" s="7">
        <f>_xlfn.NORM.DIST('DATA SIAP'!L77,$E$5,$E$6, FALSE)</f>
        <v>4.0452616403651054E-2</v>
      </c>
      <c r="T78" s="7">
        <f t="shared" si="4"/>
        <v>3.8484754509093861E-5</v>
      </c>
      <c r="U78" s="7">
        <f t="shared" si="5"/>
        <v>1.8842044567095281E-5</v>
      </c>
      <c r="W78" s="7" t="str">
        <f t="shared" si="6"/>
        <v>ANEMIA</v>
      </c>
    </row>
    <row r="79" spans="7:23" x14ac:dyDescent="0.25">
      <c r="G79" s="7">
        <f>_xlfn.NORM.DIST('DATA SIAP'!I78,$B$2,$B$3, FALSE)</f>
        <v>0.28741140755172995</v>
      </c>
      <c r="H79" s="7">
        <f>_xlfn.NORM.DIST('DATA SIAP'!J78,$C$2,$C$3, FALSE)</f>
        <v>2.0756397073274192E-2</v>
      </c>
      <c r="I79" s="7">
        <f>_xlfn.NORM.DIST('DATA SIAP'!K78,$D$2,$D$3, FALSE)</f>
        <v>0.16303965166659332</v>
      </c>
      <c r="J79" s="7">
        <f>_xlfn.NORM.DIST('DATA SIAP'!L78,$E$2,$E$3, FALSE)</f>
        <v>3.3433156128299703E-2</v>
      </c>
      <c r="L79" s="7">
        <f>_xlfn.NORM.DIST('DATA SIAP'!I78,$B$5,$B$6, FALSE)</f>
        <v>1.6986933724906429E-2</v>
      </c>
      <c r="M79" s="7">
        <f>_xlfn.NORM.DIST('DATA SIAP'!J78,$C$5,$C$6, FALSE)</f>
        <v>2.4070071205384173E-2</v>
      </c>
      <c r="N79" s="7">
        <f>_xlfn.NORM.DIST('DATA SIAP'!K78,$D$5,$D$6, FALSE)</f>
        <v>0.19394963457395645</v>
      </c>
      <c r="O79" s="7">
        <f>_xlfn.NORM.DIST('DATA SIAP'!L78,$E$5,$E$6, FALSE)</f>
        <v>3.1000527226550601E-2</v>
      </c>
      <c r="T79" s="7">
        <f t="shared" si="4"/>
        <v>1.7633112072807041E-5</v>
      </c>
      <c r="U79" s="7">
        <f t="shared" si="5"/>
        <v>1.1253184135792389E-6</v>
      </c>
      <c r="W79" s="7" t="str">
        <f t="shared" si="6"/>
        <v>ANEMIA</v>
      </c>
    </row>
    <row r="80" spans="7:23" x14ac:dyDescent="0.25">
      <c r="G80" s="7">
        <f>_xlfn.NORM.DIST('DATA SIAP'!I79,$B$2,$B$3, FALSE)</f>
        <v>0.20874557925923554</v>
      </c>
      <c r="H80" s="7">
        <f>_xlfn.NORM.DIST('DATA SIAP'!J79,$C$2,$C$3, FALSE)</f>
        <v>5.7029402346429989E-2</v>
      </c>
      <c r="I80" s="7">
        <f>_xlfn.NORM.DIST('DATA SIAP'!K79,$D$2,$D$3, FALSE)</f>
        <v>0.28223010825692313</v>
      </c>
      <c r="J80" s="7">
        <f>_xlfn.NORM.DIST('DATA SIAP'!L79,$E$2,$E$3, FALSE)</f>
        <v>8.9660844682620949E-3</v>
      </c>
      <c r="L80" s="7">
        <f>_xlfn.NORM.DIST('DATA SIAP'!I79,$B$5,$B$6, FALSE)</f>
        <v>5.7976390272245056E-2</v>
      </c>
      <c r="M80" s="7">
        <f>_xlfn.NORM.DIST('DATA SIAP'!J79,$C$5,$C$6, FALSE)</f>
        <v>5.7217528909234483E-2</v>
      </c>
      <c r="N80" s="7">
        <f>_xlfn.NORM.DIST('DATA SIAP'!K79,$D$5,$D$6, FALSE)</f>
        <v>0.29338304844726315</v>
      </c>
      <c r="O80" s="7">
        <f>_xlfn.NORM.DIST('DATA SIAP'!L79,$E$5,$E$6, FALSE)</f>
        <v>1.1199979339975748E-2</v>
      </c>
      <c r="T80" s="7">
        <f t="shared" si="4"/>
        <v>1.63352075307888E-5</v>
      </c>
      <c r="U80" s="7">
        <f t="shared" si="5"/>
        <v>4.9895056667384411E-6</v>
      </c>
      <c r="W80" s="7" t="str">
        <f t="shared" si="6"/>
        <v>SEHAT</v>
      </c>
    </row>
    <row r="81" spans="7:23" x14ac:dyDescent="0.25">
      <c r="G81" s="7">
        <f>_xlfn.NORM.DIST('DATA SIAP'!I80,$B$2,$B$3, FALSE)</f>
        <v>2.1201250670888029E-3</v>
      </c>
      <c r="H81" s="7">
        <f>_xlfn.NORM.DIST('DATA SIAP'!J80,$C$2,$C$3, FALSE)</f>
        <v>6.1930288321728387E-2</v>
      </c>
      <c r="I81" s="7">
        <f>_xlfn.NORM.DIST('DATA SIAP'!K80,$D$2,$D$3, FALSE)</f>
        <v>9.470219971360351E-2</v>
      </c>
      <c r="J81" s="7">
        <f>_xlfn.NORM.DIST('DATA SIAP'!L80,$E$2,$E$3, FALSE)</f>
        <v>2.7698995913546257E-2</v>
      </c>
      <c r="L81" s="7">
        <f>_xlfn.NORM.DIST('DATA SIAP'!I80,$B$5,$B$6, FALSE)</f>
        <v>0.27340634464238739</v>
      </c>
      <c r="M81" s="7">
        <f>_xlfn.NORM.DIST('DATA SIAP'!J80,$C$5,$C$6, FALSE)</f>
        <v>6.1492612070584686E-2</v>
      </c>
      <c r="N81" s="7">
        <f>_xlfn.NORM.DIST('DATA SIAP'!K80,$D$5,$D$6, FALSE)</f>
        <v>0.1176432423163154</v>
      </c>
      <c r="O81" s="7">
        <f>_xlfn.NORM.DIST('DATA SIAP'!L80,$E$5,$E$6, FALSE)</f>
        <v>2.8858559028918776E-2</v>
      </c>
      <c r="T81" s="7">
        <f t="shared" si="4"/>
        <v>1.867630925190033E-7</v>
      </c>
      <c r="U81" s="7">
        <f t="shared" si="5"/>
        <v>2.6127518838530867E-5</v>
      </c>
      <c r="W81" s="7" t="str">
        <f t="shared" si="6"/>
        <v>ANEMIA</v>
      </c>
    </row>
    <row r="82" spans="7:23" x14ac:dyDescent="0.25">
      <c r="G82" s="7">
        <f>_xlfn.NORM.DIST('DATA SIAP'!I81,$B$2,$B$3, FALSE)</f>
        <v>0.16341699682690056</v>
      </c>
      <c r="H82" s="7">
        <f>_xlfn.NORM.DIST('DATA SIAP'!J81,$C$2,$C$3, FALSE)</f>
        <v>9.8011371005654324E-2</v>
      </c>
      <c r="I82" s="7">
        <f>_xlfn.NORM.DIST('DATA SIAP'!K81,$D$2,$D$3, FALSE)</f>
        <v>8.497760258572655E-2</v>
      </c>
      <c r="J82" s="7">
        <f>_xlfn.NORM.DIST('DATA SIAP'!L81,$E$2,$E$3, FALSE)</f>
        <v>1.707658795119138E-2</v>
      </c>
      <c r="L82" s="7">
        <f>_xlfn.NORM.DIST('DATA SIAP'!I81,$B$5,$B$6, FALSE)</f>
        <v>1.1639241761785992E-4</v>
      </c>
      <c r="M82" s="7">
        <f>_xlfn.NORM.DIST('DATA SIAP'!J81,$C$5,$C$6, FALSE)</f>
        <v>9.1951373432140798E-2</v>
      </c>
      <c r="N82" s="7">
        <f>_xlfn.NORM.DIST('DATA SIAP'!K81,$D$5,$D$6, FALSE)</f>
        <v>0.10620426432269754</v>
      </c>
      <c r="O82" s="7">
        <f>_xlfn.NORM.DIST('DATA SIAP'!L81,$E$5,$E$6, FALSE)</f>
        <v>1.6528208474503561E-2</v>
      </c>
      <c r="T82" s="7">
        <f t="shared" si="4"/>
        <v>1.2603223671487337E-5</v>
      </c>
      <c r="U82" s="7">
        <f t="shared" si="5"/>
        <v>8.5995486716652666E-9</v>
      </c>
      <c r="W82" s="7" t="str">
        <f t="shared" si="6"/>
        <v>ANEMIA</v>
      </c>
    </row>
    <row r="83" spans="7:23" x14ac:dyDescent="0.25">
      <c r="G83" s="7">
        <f>_xlfn.NORM.DIST('DATA SIAP'!I82,$B$2,$B$3, FALSE)</f>
        <v>0.13958651423065163</v>
      </c>
      <c r="H83" s="7">
        <f>_xlfn.NORM.DIST('DATA SIAP'!J82,$C$2,$C$3, FALSE)</f>
        <v>0.10260832370383424</v>
      </c>
      <c r="I83" s="7">
        <f>_xlfn.NORM.DIST('DATA SIAP'!K82,$D$2,$D$3, FALSE)</f>
        <v>0.19972434609323236</v>
      </c>
      <c r="J83" s="7">
        <f>_xlfn.NORM.DIST('DATA SIAP'!L82,$E$2,$E$3, FALSE)</f>
        <v>4.3091975226951768E-2</v>
      </c>
      <c r="L83" s="7">
        <f>_xlfn.NORM.DIST('DATA SIAP'!I82,$B$5,$B$6, FALSE)</f>
        <v>0.11401573380622193</v>
      </c>
      <c r="M83" s="7">
        <f>_xlfn.NORM.DIST('DATA SIAP'!J82,$C$5,$C$6, FALSE)</f>
        <v>9.5906469505890934E-2</v>
      </c>
      <c r="N83" s="7">
        <f>_xlfn.NORM.DIST('DATA SIAP'!K82,$D$5,$D$6, FALSE)</f>
        <v>0.23145932521706172</v>
      </c>
      <c r="O83" s="7">
        <f>_xlfn.NORM.DIST('DATA SIAP'!L82,$E$5,$E$6, FALSE)</f>
        <v>4.0352331244002053E-2</v>
      </c>
      <c r="T83" s="7">
        <f t="shared" si="4"/>
        <v>6.6842986406109782E-5</v>
      </c>
      <c r="U83" s="7">
        <f t="shared" si="5"/>
        <v>4.6749935465249225E-5</v>
      </c>
      <c r="W83" s="7" t="str">
        <f t="shared" si="6"/>
        <v>ANEMIA</v>
      </c>
    </row>
    <row r="84" spans="7:23" x14ac:dyDescent="0.25">
      <c r="G84" s="7">
        <f>_xlfn.NORM.DIST('DATA SIAP'!I83,$B$2,$B$3, FALSE)</f>
        <v>9.9456018397713952E-2</v>
      </c>
      <c r="H84" s="7">
        <f>_xlfn.NORM.DIST('DATA SIAP'!J83,$C$2,$C$3, FALSE)</f>
        <v>6.5208077660084879E-2</v>
      </c>
      <c r="I84" s="7">
        <f>_xlfn.NORM.DIST('DATA SIAP'!K83,$D$2,$D$3, FALSE)</f>
        <v>0.10074504551950023</v>
      </c>
      <c r="J84" s="7">
        <f>_xlfn.NORM.DIST('DATA SIAP'!L83,$E$2,$E$3, FALSE)</f>
        <v>1.160403443024596E-2</v>
      </c>
      <c r="L84" s="7">
        <f>_xlfn.NORM.DIST('DATA SIAP'!I83,$B$5,$B$6, FALSE)</f>
        <v>2.0999310805191293E-5</v>
      </c>
      <c r="M84" s="7">
        <f>_xlfn.NORM.DIST('DATA SIAP'!J83,$C$5,$C$6, FALSE)</f>
        <v>6.432887467350773E-2</v>
      </c>
      <c r="N84" s="7">
        <f>_xlfn.NORM.DIST('DATA SIAP'!K83,$D$5,$D$6, FALSE)</f>
        <v>7.3356217047997774E-2</v>
      </c>
      <c r="O84" s="7">
        <f>_xlfn.NORM.DIST('DATA SIAP'!L83,$E$5,$E$6, FALSE)</f>
        <v>1.1586640308935971E-2</v>
      </c>
      <c r="T84" s="7">
        <f t="shared" si="4"/>
        <v>4.1111900452367067E-6</v>
      </c>
      <c r="U84" s="7">
        <f t="shared" si="5"/>
        <v>5.2556986996212807E-10</v>
      </c>
      <c r="W84" s="7" t="str">
        <f t="shared" si="6"/>
        <v>ANEMIA</v>
      </c>
    </row>
    <row r="85" spans="7:23" x14ac:dyDescent="0.25">
      <c r="G85" s="7">
        <f>_xlfn.NORM.DIST('DATA SIAP'!I84,$B$2,$B$3, FALSE)</f>
        <v>0.13632881677636685</v>
      </c>
      <c r="H85" s="7">
        <f>_xlfn.NORM.DIST('DATA SIAP'!J84,$C$2,$C$3, FALSE)</f>
        <v>6.8670628928825472E-2</v>
      </c>
      <c r="I85" s="7">
        <f>_xlfn.NORM.DIST('DATA SIAP'!K84,$D$2,$D$3, FALSE)</f>
        <v>8.1193976727337386E-2</v>
      </c>
      <c r="J85" s="7">
        <f>_xlfn.NORM.DIST('DATA SIAP'!L84,$E$2,$E$3, FALSE)</f>
        <v>1.023696655722252E-2</v>
      </c>
      <c r="L85" s="7">
        <f>_xlfn.NORM.DIST('DATA SIAP'!I84,$B$5,$B$6, FALSE)</f>
        <v>5.9861366178646597E-5</v>
      </c>
      <c r="M85" s="7">
        <f>_xlfn.NORM.DIST('DATA SIAP'!J84,$C$5,$C$6, FALSE)</f>
        <v>6.7865717849773549E-2</v>
      </c>
      <c r="N85" s="7">
        <f>_xlfn.NORM.DIST('DATA SIAP'!K84,$D$5,$D$6, FALSE)</f>
        <v>5.6783277125935824E-2</v>
      </c>
      <c r="O85" s="7">
        <f>_xlfn.NORM.DIST('DATA SIAP'!L84,$E$5,$E$6, FALSE)</f>
        <v>1.0330413117694301E-2</v>
      </c>
      <c r="T85" s="7">
        <f t="shared" si="4"/>
        <v>4.2194531439054468E-6</v>
      </c>
      <c r="U85" s="7">
        <f t="shared" si="5"/>
        <v>1.0908379197639865E-9</v>
      </c>
      <c r="W85" s="7" t="str">
        <f t="shared" si="6"/>
        <v>SEHAT</v>
      </c>
    </row>
    <row r="86" spans="7:23" x14ac:dyDescent="0.25">
      <c r="G86" s="7">
        <f>_xlfn.NORM.DIST('DATA SIAP'!I85,$B$2,$B$3, FALSE)</f>
        <v>2.0914816537887824E-2</v>
      </c>
      <c r="H86" s="7">
        <f>_xlfn.NORM.DIST('DATA SIAP'!J85,$C$2,$C$3, FALSE)</f>
        <v>5.5408394908653263E-2</v>
      </c>
      <c r="I86" s="7">
        <f>_xlfn.NORM.DIST('DATA SIAP'!K85,$D$2,$D$3, FALSE)</f>
        <v>0.24936908005607247</v>
      </c>
      <c r="J86" s="7">
        <f>_xlfn.NORM.DIST('DATA SIAP'!L85,$E$2,$E$3, FALSE)</f>
        <v>3.5879713287618353E-2</v>
      </c>
      <c r="L86" s="7">
        <f>_xlfn.NORM.DIST('DATA SIAP'!I85,$B$5,$B$6, FALSE)</f>
        <v>0.31133554004162617</v>
      </c>
      <c r="M86" s="7">
        <f>_xlfn.NORM.DIST('DATA SIAP'!J85,$C$5,$C$6, FALSE)</f>
        <v>5.5793807117840009E-2</v>
      </c>
      <c r="N86" s="7">
        <f>_xlfn.NORM.DIST('DATA SIAP'!K85,$D$5,$D$6, FALSE)</f>
        <v>0.22848406731540458</v>
      </c>
      <c r="O86" s="7">
        <f>_xlfn.NORM.DIST('DATA SIAP'!L85,$E$5,$E$6, FALSE)</f>
        <v>3.5564358905710573E-2</v>
      </c>
      <c r="T86" s="7">
        <f t="shared" si="4"/>
        <v>5.6224237816002053E-6</v>
      </c>
      <c r="U86" s="7">
        <f t="shared" si="5"/>
        <v>6.4611617631955191E-5</v>
      </c>
      <c r="W86" s="7" t="str">
        <f t="shared" si="6"/>
        <v>SEHAT</v>
      </c>
    </row>
    <row r="87" spans="7:23" x14ac:dyDescent="0.25">
      <c r="G87" s="7">
        <f>_xlfn.NORM.DIST('DATA SIAP'!I86,$B$2,$B$3, FALSE)</f>
        <v>9.1134535664730731E-2</v>
      </c>
      <c r="H87" s="7">
        <f>_xlfn.NORM.DIST('DATA SIAP'!J86,$C$2,$C$3, FALSE)</f>
        <v>2.3677134848570851E-2</v>
      </c>
      <c r="I87" s="7">
        <f>_xlfn.NORM.DIST('DATA SIAP'!K86,$D$2,$D$3, FALSE)</f>
        <v>0.2229162921895402</v>
      </c>
      <c r="J87" s="7">
        <f>_xlfn.NORM.DIST('DATA SIAP'!L86,$E$2,$E$3, FALSE)</f>
        <v>1.1402083562357524E-2</v>
      </c>
      <c r="L87" s="7">
        <f>_xlfn.NORM.DIST('DATA SIAP'!I86,$B$5,$B$6, FALSE)</f>
        <v>0.17365085003564773</v>
      </c>
      <c r="M87" s="7">
        <f>_xlfn.NORM.DIST('DATA SIAP'!J86,$C$5,$C$6, FALSE)</f>
        <v>2.6562169372716077E-2</v>
      </c>
      <c r="N87" s="7">
        <f>_xlfn.NORM.DIST('DATA SIAP'!K86,$D$5,$D$6, FALSE)</f>
        <v>0.25345247760741169</v>
      </c>
      <c r="O87" s="7">
        <f>_xlfn.NORM.DIST('DATA SIAP'!L86,$E$5,$E$6, FALSE)</f>
        <v>1.1401749881430751E-2</v>
      </c>
      <c r="T87" s="7">
        <f t="shared" si="4"/>
        <v>2.9739971211206915E-6</v>
      </c>
      <c r="U87" s="7">
        <f t="shared" si="5"/>
        <v>6.1014564835218449E-6</v>
      </c>
      <c r="W87" s="7" t="str">
        <f t="shared" si="6"/>
        <v>SEHAT</v>
      </c>
    </row>
    <row r="88" spans="7:23" x14ac:dyDescent="0.25">
      <c r="G88" s="7">
        <f>_xlfn.NORM.DIST('DATA SIAP'!I87,$B$2,$B$3, FALSE)</f>
        <v>5.2858549075253704E-3</v>
      </c>
      <c r="H88" s="7">
        <f>_xlfn.NORM.DIST('DATA SIAP'!J87,$C$2,$C$3, FALSE)</f>
        <v>9.7226722749690922E-2</v>
      </c>
      <c r="I88" s="7">
        <f>_xlfn.NORM.DIST('DATA SIAP'!K87,$D$2,$D$3, FALSE)</f>
        <v>6.7385222064391778E-2</v>
      </c>
      <c r="J88" s="7">
        <f>_xlfn.NORM.DIST('DATA SIAP'!L87,$E$2,$E$3, FALSE)</f>
        <v>3.6813596811928292E-2</v>
      </c>
      <c r="L88" s="7">
        <f>_xlfn.NORM.DIST('DATA SIAP'!I87,$B$5,$B$6, FALSE)</f>
        <v>0.31475359474046671</v>
      </c>
      <c r="M88" s="7">
        <f>_xlfn.NORM.DIST('DATA SIAP'!J87,$C$5,$C$6, FALSE)</f>
        <v>9.1603180839353024E-2</v>
      </c>
      <c r="N88" s="7">
        <f>_xlfn.NORM.DIST('DATA SIAP'!K87,$D$5,$D$6, FALSE)</f>
        <v>8.5159033170030513E-2</v>
      </c>
      <c r="O88" s="7">
        <f>_xlfn.NORM.DIST('DATA SIAP'!L87,$E$5,$E$6, FALSE)</f>
        <v>3.4038616141987908E-2</v>
      </c>
      <c r="T88" s="7">
        <f t="shared" si="4"/>
        <v>6.9131532004326246E-7</v>
      </c>
      <c r="U88" s="7">
        <f t="shared" si="5"/>
        <v>3.8256821352570255E-5</v>
      </c>
      <c r="W88" s="7" t="str">
        <f t="shared" si="6"/>
        <v>ANEMIA</v>
      </c>
    </row>
    <row r="89" spans="7:23" x14ac:dyDescent="0.25">
      <c r="G89" s="7">
        <f>_xlfn.NORM.DIST('DATA SIAP'!I88,$B$2,$B$3, FALSE)</f>
        <v>0.29247827880955168</v>
      </c>
      <c r="H89" s="7">
        <f>_xlfn.NORM.DIST('DATA SIAP'!J88,$C$2,$C$3, FALSE)</f>
        <v>8.6722943831225807E-2</v>
      </c>
      <c r="I89" s="7">
        <f>_xlfn.NORM.DIST('DATA SIAP'!K88,$D$2,$D$3, FALSE)</f>
        <v>0.12713630690141631</v>
      </c>
      <c r="J89" s="7">
        <f>_xlfn.NORM.DIST('DATA SIAP'!L88,$E$2,$E$3, FALSE)</f>
        <v>1.3968091235696921E-2</v>
      </c>
      <c r="L89" s="7">
        <f>_xlfn.NORM.DIST('DATA SIAP'!I88,$B$5,$B$6, FALSE)</f>
        <v>2.7965373107455933E-3</v>
      </c>
      <c r="M89" s="7">
        <f>_xlfn.NORM.DIST('DATA SIAP'!J88,$C$5,$C$6, FALSE)</f>
        <v>8.2570542085344992E-2</v>
      </c>
      <c r="N89" s="7">
        <f>_xlfn.NORM.DIST('DATA SIAP'!K88,$D$5,$D$6, FALSE)</f>
        <v>0.1547817431068946</v>
      </c>
      <c r="O89" s="7">
        <f>_xlfn.NORM.DIST('DATA SIAP'!L88,$E$5,$E$6, FALSE)</f>
        <v>1.3735881948872446E-2</v>
      </c>
      <c r="T89" s="7">
        <f t="shared" si="4"/>
        <v>2.4425117722287811E-5</v>
      </c>
      <c r="U89" s="7">
        <f t="shared" si="5"/>
        <v>2.2472275420874579E-7</v>
      </c>
      <c r="W89" s="7" t="str">
        <f t="shared" si="6"/>
        <v>ANEMIA</v>
      </c>
    </row>
    <row r="90" spans="7:23" x14ac:dyDescent="0.25">
      <c r="G90" s="7">
        <f>_xlfn.NORM.DIST('DATA SIAP'!I89,$B$2,$B$3, FALSE)</f>
        <v>0.18082757569176874</v>
      </c>
      <c r="H90" s="7">
        <f>_xlfn.NORM.DIST('DATA SIAP'!J89,$C$2,$C$3, FALSE)</f>
        <v>6.1930288321728387E-2</v>
      </c>
      <c r="I90" s="7">
        <f>_xlfn.NORM.DIST('DATA SIAP'!K89,$D$2,$D$3, FALSE)</f>
        <v>0.18263025300630079</v>
      </c>
      <c r="J90" s="7">
        <f>_xlfn.NORM.DIST('DATA SIAP'!L89,$E$2,$E$3, FALSE)</f>
        <v>4.0115435100428289E-2</v>
      </c>
      <c r="L90" s="7">
        <f>_xlfn.NORM.DIST('DATA SIAP'!I89,$B$5,$B$6, FALSE)</f>
        <v>7.752582775334832E-2</v>
      </c>
      <c r="M90" s="7">
        <f>_xlfn.NORM.DIST('DATA SIAP'!J89,$C$5,$C$6, FALSE)</f>
        <v>6.1492612070584686E-2</v>
      </c>
      <c r="N90" s="7">
        <f>_xlfn.NORM.DIST('DATA SIAP'!K89,$D$5,$D$6, FALSE)</f>
        <v>0.15154872267578176</v>
      </c>
      <c r="O90" s="7">
        <f>_xlfn.NORM.DIST('DATA SIAP'!L89,$E$5,$E$6, FALSE)</f>
        <v>3.873497891491718E-2</v>
      </c>
      <c r="T90" s="7">
        <f t="shared" si="4"/>
        <v>4.4489176844273939E-5</v>
      </c>
      <c r="U90" s="7">
        <f t="shared" si="5"/>
        <v>1.2810024775418585E-5</v>
      </c>
      <c r="W90" s="7" t="str">
        <f t="shared" si="6"/>
        <v>SEHAT</v>
      </c>
    </row>
    <row r="91" spans="7:23" x14ac:dyDescent="0.25">
      <c r="G91" s="7">
        <f>_xlfn.NORM.DIST('DATA SIAP'!I90,$B$2,$B$3, FALSE)</f>
        <v>3.386696622565662E-3</v>
      </c>
      <c r="H91" s="7">
        <f>_xlfn.NORM.DIST('DATA SIAP'!J90,$C$2,$C$3, FALSE)</f>
        <v>1.8879623054404979E-2</v>
      </c>
      <c r="I91" s="7">
        <f>_xlfn.NORM.DIST('DATA SIAP'!K90,$D$2,$D$3, FALSE)</f>
        <v>0.27722454854897127</v>
      </c>
      <c r="J91" s="7">
        <f>_xlfn.NORM.DIST('DATA SIAP'!L90,$E$2,$E$3, FALSE)</f>
        <v>1.6826451502239177E-2</v>
      </c>
      <c r="L91" s="7">
        <f>_xlfn.NORM.DIST('DATA SIAP'!I90,$B$5,$B$6, FALSE)</f>
        <v>0.29730086523127114</v>
      </c>
      <c r="M91" s="7">
        <f>_xlfn.NORM.DIST('DATA SIAP'!J90,$C$5,$C$6, FALSE)</f>
        <v>2.2170926882850862E-2</v>
      </c>
      <c r="N91" s="7">
        <f>_xlfn.NORM.DIST('DATA SIAP'!K90,$D$5,$D$6, FALSE)</f>
        <v>0.26955695164547089</v>
      </c>
      <c r="O91" s="7">
        <f>_xlfn.NORM.DIST('DATA SIAP'!L90,$E$5,$E$6, FALSE)</f>
        <v>1.6304649065952376E-2</v>
      </c>
      <c r="T91" s="7">
        <f t="shared" si="4"/>
        <v>1.6173209696500445E-7</v>
      </c>
      <c r="U91" s="7">
        <f t="shared" si="5"/>
        <v>1.3260717622763085E-5</v>
      </c>
      <c r="W91" s="7" t="str">
        <f t="shared" si="6"/>
        <v>ANEMIA</v>
      </c>
    </row>
    <row r="92" spans="7:23" x14ac:dyDescent="0.25">
      <c r="G92" s="7">
        <f>_xlfn.NORM.DIST('DATA SIAP'!I91,$B$2,$B$3, FALSE)</f>
        <v>0.16684373170249162</v>
      </c>
      <c r="H92" s="7">
        <f>_xlfn.NORM.DIST('DATA SIAP'!J91,$C$2,$C$3, FALSE)</f>
        <v>5.7029402346429989E-2</v>
      </c>
      <c r="I92" s="7">
        <f>_xlfn.NORM.DIST('DATA SIAP'!K91,$D$2,$D$3, FALSE)</f>
        <v>0.12713630690141631</v>
      </c>
      <c r="J92" s="7">
        <f>_xlfn.NORM.DIST('DATA SIAP'!L91,$E$2,$E$3, FALSE)</f>
        <v>1.7057035424155424E-2</v>
      </c>
      <c r="L92" s="7">
        <f>_xlfn.NORM.DIST('DATA SIAP'!I91,$B$5,$B$6, FALSE)</f>
        <v>8.8754245198698567E-2</v>
      </c>
      <c r="M92" s="7">
        <f>_xlfn.NORM.DIST('DATA SIAP'!J91,$C$5,$C$6, FALSE)</f>
        <v>5.7217528909234483E-2</v>
      </c>
      <c r="N92" s="7">
        <f>_xlfn.NORM.DIST('DATA SIAP'!K91,$D$5,$D$6, FALSE)</f>
        <v>0.1547817431068946</v>
      </c>
      <c r="O92" s="7">
        <f>_xlfn.NORM.DIST('DATA SIAP'!L91,$E$5,$E$6, FALSE)</f>
        <v>1.928257927409913E-2</v>
      </c>
      <c r="T92" s="7">
        <f t="shared" si="4"/>
        <v>1.1188818762393911E-5</v>
      </c>
      <c r="U92" s="7">
        <f t="shared" si="5"/>
        <v>6.9379010838817383E-6</v>
      </c>
      <c r="W92" s="7" t="str">
        <f t="shared" si="6"/>
        <v>ANEMIA</v>
      </c>
    </row>
    <row r="93" spans="7:23" x14ac:dyDescent="0.25">
      <c r="G93" s="7">
        <f>_xlfn.NORM.DIST('DATA SIAP'!I92,$B$2,$B$3, FALSE)</f>
        <v>0.20533799040714429</v>
      </c>
      <c r="H93" s="7">
        <f>_xlfn.NORM.DIST('DATA SIAP'!J92,$C$2,$C$3, FALSE)</f>
        <v>3.201035707858596E-2</v>
      </c>
      <c r="I93" s="7">
        <f>_xlfn.NORM.DIST('DATA SIAP'!K92,$D$2,$D$3, FALSE)</f>
        <v>0.13402998203293126</v>
      </c>
      <c r="J93" s="7">
        <f>_xlfn.NORM.DIST('DATA SIAP'!L92,$E$2,$E$3, FALSE)</f>
        <v>4.3005048372796818E-2</v>
      </c>
      <c r="L93" s="7">
        <f>_xlfn.NORM.DIST('DATA SIAP'!I92,$B$5,$B$6, FALSE)</f>
        <v>3.0013545453784864E-4</v>
      </c>
      <c r="M93" s="7">
        <f>_xlfn.NORM.DIST('DATA SIAP'!J92,$C$5,$C$6, FALSE)</f>
        <v>3.5042122838522372E-2</v>
      </c>
      <c r="N93" s="7">
        <f>_xlfn.NORM.DIST('DATA SIAP'!K92,$D$5,$D$6, FALSE)</f>
        <v>0.10342099402218156</v>
      </c>
      <c r="O93" s="7">
        <f>_xlfn.NORM.DIST('DATA SIAP'!L92,$E$5,$E$6, FALSE)</f>
        <v>4.0156793606372254E-2</v>
      </c>
      <c r="T93" s="7">
        <f t="shared" si="4"/>
        <v>2.0543933793800733E-5</v>
      </c>
      <c r="U93" s="7">
        <f t="shared" si="5"/>
        <v>1.999403541614033E-8</v>
      </c>
      <c r="W93" s="7" t="str">
        <f t="shared" si="6"/>
        <v>ANEMIA</v>
      </c>
    </row>
    <row r="94" spans="7:23" x14ac:dyDescent="0.25">
      <c r="G94" s="7">
        <f>_xlfn.NORM.DIST('DATA SIAP'!I93,$B$2,$B$3, FALSE)</f>
        <v>0.29247827880955168</v>
      </c>
      <c r="H94" s="7">
        <f>_xlfn.NORM.DIST('DATA SIAP'!J93,$C$2,$C$3, FALSE)</f>
        <v>5.8855917607667806E-2</v>
      </c>
      <c r="I94" s="7">
        <f>_xlfn.NORM.DIST('DATA SIAP'!K93,$D$2,$D$3, FALSE)</f>
        <v>7.5864629322429281E-2</v>
      </c>
      <c r="J94" s="7">
        <f>_xlfn.NORM.DIST('DATA SIAP'!L93,$E$2,$E$3, FALSE)</f>
        <v>1.3280739309875472E-2</v>
      </c>
      <c r="L94" s="7">
        <f>_xlfn.NORM.DIST('DATA SIAP'!I93,$B$5,$B$6, FALSE)</f>
        <v>2.7965373107455933E-3</v>
      </c>
      <c r="M94" s="7">
        <f>_xlfn.NORM.DIST('DATA SIAP'!J93,$C$5,$C$6, FALSE)</f>
        <v>5.9388802980454888E-2</v>
      </c>
      <c r="N94" s="7">
        <f>_xlfn.NORM.DIST('DATA SIAP'!K93,$D$5,$D$6, FALSE)</f>
        <v>9.5359332080553083E-2</v>
      </c>
      <c r="O94" s="7">
        <f>_xlfn.NORM.DIST('DATA SIAP'!L93,$E$5,$E$6, FALSE)</f>
        <v>1.5619879970585048E-2</v>
      </c>
      <c r="T94" s="7">
        <f t="shared" si="4"/>
        <v>9.4047601950662217E-6</v>
      </c>
      <c r="U94" s="7">
        <f t="shared" si="5"/>
        <v>1.1323771437945797E-7</v>
      </c>
      <c r="W94" s="7" t="str">
        <f t="shared" si="6"/>
        <v>SEHAT</v>
      </c>
    </row>
    <row r="95" spans="7:23" x14ac:dyDescent="0.25">
      <c r="G95" s="7">
        <f>_xlfn.NORM.DIST('DATA SIAP'!I94,$B$2,$B$3, FALSE)</f>
        <v>9.8680512350186426E-3</v>
      </c>
      <c r="H95" s="7">
        <f>_xlfn.NORM.DIST('DATA SIAP'!J94,$C$2,$C$3, FALSE)</f>
        <v>9.1816753811162916E-2</v>
      </c>
      <c r="I95" s="7">
        <f>_xlfn.NORM.DIST('DATA SIAP'!K94,$D$2,$D$3, FALSE)</f>
        <v>0.15083248924656931</v>
      </c>
      <c r="J95" s="7">
        <f>_xlfn.NORM.DIST('DATA SIAP'!L94,$E$2,$E$3, FALSE)</f>
        <v>4.0750324520035519E-2</v>
      </c>
      <c r="L95" s="7">
        <f>_xlfn.NORM.DIST('DATA SIAP'!I94,$B$5,$B$6, FALSE)</f>
        <v>0.3261054086214823</v>
      </c>
      <c r="M95" s="7">
        <f>_xlfn.NORM.DIST('DATA SIAP'!J94,$C$5,$C$6, FALSE)</f>
        <v>8.6813904335611564E-2</v>
      </c>
      <c r="N95" s="7">
        <f>_xlfn.NORM.DIST('DATA SIAP'!K94,$D$5,$D$6, FALSE)</f>
        <v>0.18087822136530166</v>
      </c>
      <c r="O95" s="7">
        <f>_xlfn.NORM.DIST('DATA SIAP'!L94,$E$5,$E$6, FALSE)</f>
        <v>3.7710811714638776E-2</v>
      </c>
      <c r="T95" s="7">
        <f t="shared" si="4"/>
        <v>3.0198243365227778E-6</v>
      </c>
      <c r="U95" s="7">
        <f t="shared" si="5"/>
        <v>8.8394340907574489E-5</v>
      </c>
      <c r="W95" s="7" t="str">
        <f t="shared" si="6"/>
        <v>ANEMIA</v>
      </c>
    </row>
    <row r="96" spans="7:23" x14ac:dyDescent="0.25">
      <c r="G96" s="7">
        <f>_xlfn.NORM.DIST('DATA SIAP'!I95,$B$2,$B$3, FALSE)</f>
        <v>0.13632881677636685</v>
      </c>
      <c r="H96" s="7">
        <f>_xlfn.NORM.DIST('DATA SIAP'!J95,$C$2,$C$3, FALSE)</f>
        <v>4.922847934541514E-2</v>
      </c>
      <c r="I96" s="7">
        <f>_xlfn.NORM.DIST('DATA SIAP'!K95,$D$2,$D$3, FALSE)</f>
        <v>0.23978470508171501</v>
      </c>
      <c r="J96" s="7">
        <f>_xlfn.NORM.DIST('DATA SIAP'!L95,$E$2,$E$3, FALSE)</f>
        <v>2.9655009570210229E-2</v>
      </c>
      <c r="L96" s="7">
        <f>_xlfn.NORM.DIST('DATA SIAP'!I95,$B$5,$B$6, FALSE)</f>
        <v>5.9861366178646597E-5</v>
      </c>
      <c r="M96" s="7">
        <f>_xlfn.NORM.DIST('DATA SIAP'!J95,$C$5,$C$6, FALSE)</f>
        <v>5.0879863812295284E-2</v>
      </c>
      <c r="N96" s="7">
        <f>_xlfn.NORM.DIST('DATA SIAP'!K95,$D$5,$D$6, FALSE)</f>
        <v>0.21628328516595105</v>
      </c>
      <c r="O96" s="7">
        <f>_xlfn.NORM.DIST('DATA SIAP'!L95,$E$5,$E$6, FALSE)</f>
        <v>3.0515135885525978E-2</v>
      </c>
      <c r="T96" s="7">
        <f t="shared" si="4"/>
        <v>2.5877720222682E-5</v>
      </c>
      <c r="U96" s="7">
        <f t="shared" si="5"/>
        <v>9.2014409302543219E-9</v>
      </c>
      <c r="W96" s="7" t="str">
        <f t="shared" si="6"/>
        <v>SEHAT</v>
      </c>
    </row>
    <row r="97" spans="7:23" x14ac:dyDescent="0.25">
      <c r="G97" s="7">
        <f>_xlfn.NORM.DIST('DATA SIAP'!I96,$B$2,$B$3, FALSE)</f>
        <v>1.4533849635820748E-2</v>
      </c>
      <c r="H97" s="7">
        <f>_xlfn.NORM.DIST('DATA SIAP'!J96,$C$2,$C$3, FALSE)</f>
        <v>9.7226722749690922E-2</v>
      </c>
      <c r="I97" s="7">
        <f>_xlfn.NORM.DIST('DATA SIAP'!K96,$D$2,$D$3, FALSE)</f>
        <v>0.21834869514136626</v>
      </c>
      <c r="J97" s="7">
        <f>_xlfn.NORM.DIST('DATA SIAP'!L96,$E$2,$E$3, FALSE)</f>
        <v>4.3091583417933448E-2</v>
      </c>
      <c r="L97" s="7">
        <f>_xlfn.NORM.DIST('DATA SIAP'!I96,$B$5,$B$6, FALSE)</f>
        <v>0.32292367051886689</v>
      </c>
      <c r="M97" s="7">
        <f>_xlfn.NORM.DIST('DATA SIAP'!J96,$C$5,$C$6, FALSE)</f>
        <v>9.1603180839353024E-2</v>
      </c>
      <c r="N97" s="7">
        <f>_xlfn.NORM.DIST('DATA SIAP'!K96,$D$5,$D$6, FALSE)</f>
        <v>0.19067592347995771</v>
      </c>
      <c r="O97" s="7">
        <f>_xlfn.NORM.DIST('DATA SIAP'!L96,$E$5,$E$6, FALSE)</f>
        <v>4.0401723729517863E-2</v>
      </c>
      <c r="T97" s="7">
        <f t="shared" si="4"/>
        <v>7.2096095326129196E-6</v>
      </c>
      <c r="U97" s="7">
        <f t="shared" si="5"/>
        <v>1.0431126205799798E-4</v>
      </c>
      <c r="W97" s="7" t="str">
        <f t="shared" si="6"/>
        <v>ANEMIA</v>
      </c>
    </row>
    <row r="98" spans="7:23" x14ac:dyDescent="0.25">
      <c r="G98" s="7">
        <f>_xlfn.NORM.DIST('DATA SIAP'!I97,$B$2,$B$3, FALSE)</f>
        <v>0.20874557925923554</v>
      </c>
      <c r="H98" s="7">
        <f>_xlfn.NORM.DIST('DATA SIAP'!J97,$C$2,$C$3, FALSE)</f>
        <v>7.0095800873473543E-2</v>
      </c>
      <c r="I98" s="7">
        <f>_xlfn.NORM.DIST('DATA SIAP'!K97,$D$2,$D$3, FALSE)</f>
        <v>0.15083248924656931</v>
      </c>
      <c r="J98" s="7">
        <f>_xlfn.NORM.DIST('DATA SIAP'!L97,$E$2,$E$3, FALSE)</f>
        <v>2.7698995913546257E-2</v>
      </c>
      <c r="L98" s="7">
        <f>_xlfn.NORM.DIST('DATA SIAP'!I97,$B$5,$B$6, FALSE)</f>
        <v>5.7976390272245056E-2</v>
      </c>
      <c r="M98" s="7">
        <f>_xlfn.NORM.DIST('DATA SIAP'!J97,$C$5,$C$6, FALSE)</f>
        <v>6.8526910025946658E-2</v>
      </c>
      <c r="N98" s="7">
        <f>_xlfn.NORM.DIST('DATA SIAP'!K97,$D$5,$D$6, FALSE)</f>
        <v>0.18087822136530166</v>
      </c>
      <c r="O98" s="7">
        <f>_xlfn.NORM.DIST('DATA SIAP'!L97,$E$5,$E$6, FALSE)</f>
        <v>2.8858559028918776E-2</v>
      </c>
      <c r="T98" s="7">
        <f t="shared" si="4"/>
        <v>3.3149012426128361E-5</v>
      </c>
      <c r="U98" s="7">
        <f t="shared" si="5"/>
        <v>9.4928857537852915E-6</v>
      </c>
      <c r="W98" s="7" t="str">
        <f t="shared" si="6"/>
        <v>SEHAT</v>
      </c>
    </row>
    <row r="99" spans="7:23" x14ac:dyDescent="0.25">
      <c r="G99" s="7">
        <f>_xlfn.NORM.DIST('DATA SIAP'!I98,$B$2,$B$3, FALSE)</f>
        <v>0.1022707770788731</v>
      </c>
      <c r="H99" s="7">
        <f>_xlfn.NORM.DIST('DATA SIAP'!J98,$C$2,$C$3, FALSE)</f>
        <v>5.239035074725458E-2</v>
      </c>
      <c r="I99" s="7">
        <f>_xlfn.NORM.DIST('DATA SIAP'!K98,$D$2,$D$3, FALSE)</f>
        <v>0.11136771953090253</v>
      </c>
      <c r="J99" s="7">
        <f>_xlfn.NORM.DIST('DATA SIAP'!L98,$E$2,$E$3, FALSE)</f>
        <v>3.2368676351599221E-2</v>
      </c>
      <c r="L99" s="7">
        <f>_xlfn.NORM.DIST('DATA SIAP'!I98,$B$5,$B$6, FALSE)</f>
        <v>0.1578896925069152</v>
      </c>
      <c r="M99" s="7">
        <f>_xlfn.NORM.DIST('DATA SIAP'!J98,$C$5,$C$6, FALSE)</f>
        <v>5.3697713120298272E-2</v>
      </c>
      <c r="N99" s="7">
        <f>_xlfn.NORM.DIST('DATA SIAP'!K98,$D$5,$D$6, FALSE)</f>
        <v>8.270172681067138E-2</v>
      </c>
      <c r="O99" s="7">
        <f>_xlfn.NORM.DIST('DATA SIAP'!L98,$E$5,$E$6, FALSE)</f>
        <v>3.2760405310518916E-2</v>
      </c>
      <c r="T99" s="7">
        <f t="shared" si="4"/>
        <v>1.0473443870819092E-5</v>
      </c>
      <c r="U99" s="7">
        <f t="shared" si="5"/>
        <v>1.0514737268570574E-5</v>
      </c>
      <c r="W99" s="7" t="str">
        <f t="shared" si="6"/>
        <v>SEHAT</v>
      </c>
    </row>
    <row r="100" spans="7:23" x14ac:dyDescent="0.25">
      <c r="G100" s="7">
        <f>_xlfn.NORM.DIST('DATA SIAP'!I99,$B$2,$B$3, FALSE)</f>
        <v>2.0914816537887824E-2</v>
      </c>
      <c r="H100" s="7">
        <f>_xlfn.NORM.DIST('DATA SIAP'!J99,$C$2,$C$3, FALSE)</f>
        <v>0.10099376942535292</v>
      </c>
      <c r="I100" s="7">
        <f>_xlfn.NORM.DIST('DATA SIAP'!K99,$D$2,$D$3, FALSE)</f>
        <v>0.23978470508171501</v>
      </c>
      <c r="J100" s="7">
        <f>_xlfn.NORM.DIST('DATA SIAP'!L99,$E$2,$E$3, FALSE)</f>
        <v>1.2206716181644182E-2</v>
      </c>
      <c r="L100" s="7">
        <f>_xlfn.NORM.DIST('DATA SIAP'!I99,$B$5,$B$6, FALSE)</f>
        <v>0.31133554004162617</v>
      </c>
      <c r="M100" s="7">
        <f>_xlfn.NORM.DIST('DATA SIAP'!J99,$C$5,$C$6, FALSE)</f>
        <v>9.4424779024592773E-2</v>
      </c>
      <c r="N100" s="7">
        <f>_xlfn.NORM.DIST('DATA SIAP'!K99,$D$5,$D$6, FALSE)</f>
        <v>0.21628328516595105</v>
      </c>
      <c r="O100" s="7">
        <f>_xlfn.NORM.DIST('DATA SIAP'!L99,$E$5,$E$6, FALSE)</f>
        <v>1.4545998876659373E-2</v>
      </c>
      <c r="T100" s="7">
        <f t="shared" si="4"/>
        <v>3.3525197623560956E-6</v>
      </c>
      <c r="U100" s="7">
        <f t="shared" si="5"/>
        <v>4.2335646519217191E-5</v>
      </c>
      <c r="W100" s="7" t="str">
        <f t="shared" si="6"/>
        <v>ANEMIA</v>
      </c>
    </row>
    <row r="101" spans="7:23" x14ac:dyDescent="0.25">
      <c r="G101" s="7">
        <f>_xlfn.NORM.DIST('DATA SIAP'!I100,$B$2,$B$3, FALSE)</f>
        <v>0.26753262994835175</v>
      </c>
      <c r="H101" s="7">
        <f>_xlfn.NORM.DIST('DATA SIAP'!J100,$C$2,$C$3, FALSE)</f>
        <v>3.0595728782140248E-2</v>
      </c>
      <c r="I101" s="7">
        <f>_xlfn.NORM.DIST('DATA SIAP'!K100,$D$2,$D$3, FALSE)</f>
        <v>0.21153935719650352</v>
      </c>
      <c r="J101" s="7">
        <f>_xlfn.NORM.DIST('DATA SIAP'!L100,$E$2,$E$3, FALSE)</f>
        <v>2.377636026072983E-2</v>
      </c>
      <c r="L101" s="7">
        <f>_xlfn.NORM.DIST('DATA SIAP'!I100,$B$5,$B$6, FALSE)</f>
        <v>1.2732285241197699E-3</v>
      </c>
      <c r="M101" s="7">
        <f>_xlfn.NORM.DIST('DATA SIAP'!J100,$C$5,$C$6, FALSE)</f>
        <v>3.3219956942335309E-2</v>
      </c>
      <c r="N101" s="7">
        <f>_xlfn.NORM.DIST('DATA SIAP'!K100,$D$5,$D$6, FALSE)</f>
        <v>0.24286362542611273</v>
      </c>
      <c r="O101" s="7">
        <f>_xlfn.NORM.DIST('DATA SIAP'!L100,$E$5,$E$6, FALSE)</f>
        <v>2.2468365850495532E-2</v>
      </c>
      <c r="T101" s="7">
        <f t="shared" si="4"/>
        <v>2.2324230345191141E-5</v>
      </c>
      <c r="U101" s="7">
        <f t="shared" si="5"/>
        <v>1.0564875843399458E-7</v>
      </c>
      <c r="W101" s="7" t="str">
        <f t="shared" si="6"/>
        <v>ANEMIA</v>
      </c>
    </row>
    <row r="102" spans="7:23" x14ac:dyDescent="0.25">
      <c r="G102" s="7">
        <f>_xlfn.NORM.DIST('DATA SIAP'!I101,$B$2,$B$3, FALSE)</f>
        <v>0.11112255931408969</v>
      </c>
      <c r="H102" s="7">
        <f>_xlfn.NORM.DIST('DATA SIAP'!J101,$C$2,$C$3, FALSE)</f>
        <v>9.196013276948814E-2</v>
      </c>
      <c r="I102" s="7">
        <f>_xlfn.NORM.DIST('DATA SIAP'!K101,$D$2,$D$3, FALSE)</f>
        <v>0.26561722062877446</v>
      </c>
      <c r="J102" s="7">
        <f>_xlfn.NORM.DIST('DATA SIAP'!L101,$E$2,$E$3, FALSE)</f>
        <v>3.0776344840236336E-2</v>
      </c>
      <c r="L102" s="7">
        <f>_xlfn.NORM.DIST('DATA SIAP'!I101,$B$5,$B$6, FALSE)</f>
        <v>2.9974745226935406E-5</v>
      </c>
      <c r="M102" s="7">
        <f>_xlfn.NORM.DIST('DATA SIAP'!J101,$C$5,$C$6, FALSE)</f>
        <v>8.7323802584105797E-2</v>
      </c>
      <c r="N102" s="7">
        <f>_xlfn.NORM.DIST('DATA SIAP'!K101,$D$5,$D$6, FALSE)</f>
        <v>0.25087690118257733</v>
      </c>
      <c r="O102" s="7">
        <f>_xlfn.NORM.DIST('DATA SIAP'!L101,$E$5,$E$6, FALSE)</f>
        <v>2.8642348459390142E-2</v>
      </c>
      <c r="T102" s="7">
        <f t="shared" si="4"/>
        <v>4.5297837885660197E-5</v>
      </c>
      <c r="U102" s="7">
        <f t="shared" si="5"/>
        <v>8.609589648365739E-9</v>
      </c>
      <c r="W102" s="7" t="str">
        <f t="shared" si="6"/>
        <v>ANEMIA</v>
      </c>
    </row>
    <row r="103" spans="7:23" x14ac:dyDescent="0.25">
      <c r="G103" s="7">
        <f>_xlfn.NORM.DIST('DATA SIAP'!I102,$B$2,$B$3, FALSE)</f>
        <v>0.29394703936942013</v>
      </c>
      <c r="H103" s="7">
        <f>_xlfn.NORM.DIST('DATA SIAP'!J102,$C$2,$C$3, FALSE)</f>
        <v>8.6886905785492186E-2</v>
      </c>
      <c r="I103" s="7">
        <f>_xlfn.NORM.DIST('DATA SIAP'!K102,$D$2,$D$3, FALSE)</f>
        <v>0.17534041784492749</v>
      </c>
      <c r="J103" s="7">
        <f>_xlfn.NORM.DIST('DATA SIAP'!L102,$E$2,$E$3, FALSE)</f>
        <v>3.5183122477146354E-2</v>
      </c>
      <c r="L103" s="7">
        <f>_xlfn.NORM.DIST('DATA SIAP'!I102,$B$5,$B$6, FALSE)</f>
        <v>1.3878407083089302E-2</v>
      </c>
      <c r="M103" s="7">
        <f>_xlfn.NORM.DIST('DATA SIAP'!J102,$C$5,$C$6, FALSE)</f>
        <v>8.3157979511717661E-2</v>
      </c>
      <c r="N103" s="7">
        <f>_xlfn.NORM.DIST('DATA SIAP'!K102,$D$5,$D$6, FALSE)</f>
        <v>0.20684161907798584</v>
      </c>
      <c r="O103" s="7">
        <f>_xlfn.NORM.DIST('DATA SIAP'!L102,$E$5,$E$6, FALSE)</f>
        <v>3.2566006368925211E-2</v>
      </c>
      <c r="T103" s="7">
        <f t="shared" si="4"/>
        <v>8.5436258258313728E-5</v>
      </c>
      <c r="U103" s="7">
        <f t="shared" si="5"/>
        <v>3.5585329802975327E-6</v>
      </c>
      <c r="W103" s="7" t="str">
        <f t="shared" si="6"/>
        <v>SEHAT</v>
      </c>
    </row>
    <row r="104" spans="7:23" x14ac:dyDescent="0.25">
      <c r="G104" s="7">
        <f>_xlfn.NORM.DIST('DATA SIAP'!I103,$B$2,$B$3, FALSE)</f>
        <v>1.0054188033119906E-3</v>
      </c>
      <c r="H104" s="7">
        <f>_xlfn.NORM.DIST('DATA SIAP'!J103,$C$2,$C$3, FALSE)</f>
        <v>7.8005419042962487E-2</v>
      </c>
      <c r="I104" s="7">
        <f>_xlfn.NORM.DIST('DATA SIAP'!K103,$D$2,$D$3, FALSE)</f>
        <v>9.470219971360351E-2</v>
      </c>
      <c r="J104" s="7">
        <f>_xlfn.NORM.DIST('DATA SIAP'!L103,$E$2,$E$3, FALSE)</f>
        <v>1.0809504701761355E-2</v>
      </c>
      <c r="L104" s="7">
        <f>_xlfn.NORM.DIST('DATA SIAP'!I103,$B$5,$B$6, FALSE)</f>
        <v>0.22932569914643791</v>
      </c>
      <c r="M104" s="7">
        <f>_xlfn.NORM.DIST('DATA SIAP'!J103,$C$5,$C$6, FALSE)</f>
        <v>7.5249151950046486E-2</v>
      </c>
      <c r="N104" s="7">
        <f>_xlfn.NORM.DIST('DATA SIAP'!K103,$D$5,$D$6, FALSE)</f>
        <v>0.1176432423163154</v>
      </c>
      <c r="O104" s="7">
        <f>_xlfn.NORM.DIST('DATA SIAP'!L103,$E$5,$E$6, FALSE)</f>
        <v>1.0857892593490025E-2</v>
      </c>
      <c r="T104" s="7">
        <f t="shared" si="4"/>
        <v>4.3535147445862615E-8</v>
      </c>
      <c r="U104" s="7">
        <f t="shared" si="5"/>
        <v>1.0090016467170982E-5</v>
      </c>
      <c r="W104" s="7" t="str">
        <f t="shared" si="6"/>
        <v>SEHAT</v>
      </c>
    </row>
    <row r="105" spans="7:23" x14ac:dyDescent="0.25">
      <c r="G105" s="7">
        <f>_xlfn.NORM.DIST('DATA SIAP'!I104,$B$2,$B$3, FALSE)</f>
        <v>1.0054188033119906E-3</v>
      </c>
      <c r="H105" s="7">
        <f>_xlfn.NORM.DIST('DATA SIAP'!J104,$C$2,$C$3, FALSE)</f>
        <v>3.3144951896646423E-2</v>
      </c>
      <c r="I105" s="7">
        <f>_xlfn.NORM.DIST('DATA SIAP'!K104,$D$2,$D$3, FALSE)</f>
        <v>0.18761229391009854</v>
      </c>
      <c r="J105" s="7">
        <f>_xlfn.NORM.DIST('DATA SIAP'!L104,$E$2,$E$3, FALSE)</f>
        <v>3.7682142538614259E-2</v>
      </c>
      <c r="L105" s="7">
        <f>_xlfn.NORM.DIST('DATA SIAP'!I104,$B$5,$B$6, FALSE)</f>
        <v>0.22932569914643791</v>
      </c>
      <c r="M105" s="7">
        <f>_xlfn.NORM.DIST('DATA SIAP'!J104,$C$5,$C$6, FALSE)</f>
        <v>3.5622983840056598E-2</v>
      </c>
      <c r="N105" s="7">
        <f>_xlfn.NORM.DIST('DATA SIAP'!K104,$D$5,$D$6, FALSE)</f>
        <v>0.21939825426614995</v>
      </c>
      <c r="O105" s="7">
        <f>_xlfn.NORM.DIST('DATA SIAP'!L104,$E$5,$E$6, FALSE)</f>
        <v>3.4830937678278162E-2</v>
      </c>
      <c r="T105" s="7">
        <f t="shared" si="4"/>
        <v>1.2775080885345132E-7</v>
      </c>
      <c r="U105" s="7">
        <f t="shared" si="5"/>
        <v>2.857632431960867E-5</v>
      </c>
      <c r="W105" s="7" t="str">
        <f t="shared" si="6"/>
        <v>SEHAT</v>
      </c>
    </row>
    <row r="106" spans="7:23" x14ac:dyDescent="0.25">
      <c r="G106" s="7">
        <f>_xlfn.NORM.DIST('DATA SIAP'!I105,$B$2,$B$3, FALSE)</f>
        <v>9.1134535664730731E-2</v>
      </c>
      <c r="H106" s="7">
        <f>_xlfn.NORM.DIST('DATA SIAP'!J105,$C$2,$C$3, FALSE)</f>
        <v>8.2499914031945329E-2</v>
      </c>
      <c r="I106" s="7">
        <f>_xlfn.NORM.DIST('DATA SIAP'!K105,$D$2,$D$3, FALSE)</f>
        <v>0.2229162921895402</v>
      </c>
      <c r="J106" s="7">
        <f>_xlfn.NORM.DIST('DATA SIAP'!L105,$E$2,$E$3, FALSE)</f>
        <v>1.307867056513623E-2</v>
      </c>
      <c r="L106" s="7">
        <f>_xlfn.NORM.DIST('DATA SIAP'!I105,$B$5,$B$6, FALSE)</f>
        <v>0.17365085003564773</v>
      </c>
      <c r="M106" s="7">
        <f>_xlfn.NORM.DIST('DATA SIAP'!J105,$C$5,$C$6, FALSE)</f>
        <v>7.9034182844746961E-2</v>
      </c>
      <c r="N106" s="7">
        <f>_xlfn.NORM.DIST('DATA SIAP'!K105,$D$5,$D$6, FALSE)</f>
        <v>0.25345247760741169</v>
      </c>
      <c r="O106" s="7">
        <f>_xlfn.NORM.DIST('DATA SIAP'!L105,$E$5,$E$6, FALSE)</f>
        <v>1.2930321669621341E-2</v>
      </c>
      <c r="T106" s="7">
        <f t="shared" si="4"/>
        <v>1.1886233931138455E-5</v>
      </c>
      <c r="U106" s="7">
        <f t="shared" si="5"/>
        <v>2.0588407864512834E-5</v>
      </c>
      <c r="W106" s="7" t="str">
        <f t="shared" si="6"/>
        <v>ANEMIA</v>
      </c>
    </row>
    <row r="107" spans="7:23" x14ac:dyDescent="0.25">
      <c r="G107" s="7">
        <f>_xlfn.NORM.DIST('DATA SIAP'!I106,$B$2,$B$3, FALSE)</f>
        <v>0.28741140755172995</v>
      </c>
      <c r="H107" s="7">
        <f>_xlfn.NORM.DIST('DATA SIAP'!J106,$C$2,$C$3, FALSE)</f>
        <v>5.2197094921759814E-2</v>
      </c>
      <c r="I107" s="7">
        <f>_xlfn.NORM.DIST('DATA SIAP'!K106,$D$2,$D$3, FALSE)</f>
        <v>0.1050040661958891</v>
      </c>
      <c r="J107" s="7">
        <f>_xlfn.NORM.DIST('DATA SIAP'!L106,$E$2,$E$3, FALSE)</f>
        <v>2.461876633020435E-2</v>
      </c>
      <c r="L107" s="7">
        <f>_xlfn.NORM.DIST('DATA SIAP'!I106,$B$5,$B$6, FALSE)</f>
        <v>1.6986933724906429E-2</v>
      </c>
      <c r="M107" s="7">
        <f>_xlfn.NORM.DIST('DATA SIAP'!J106,$C$5,$C$6, FALSE)</f>
        <v>5.295805972102325E-2</v>
      </c>
      <c r="N107" s="7">
        <f>_xlfn.NORM.DIST('DATA SIAP'!K106,$D$5,$D$6, FALSE)</f>
        <v>0.12960993474335217</v>
      </c>
      <c r="O107" s="7">
        <f>_xlfn.NORM.DIST('DATA SIAP'!L106,$E$5,$E$6, FALSE)</f>
        <v>2.3211195829436964E-2</v>
      </c>
      <c r="T107" s="7">
        <f t="shared" si="4"/>
        <v>2.1029314608163378E-5</v>
      </c>
      <c r="U107" s="7">
        <f t="shared" si="5"/>
        <v>1.2388190561961525E-6</v>
      </c>
      <c r="W107" s="7" t="str">
        <f t="shared" si="6"/>
        <v>SEHAT</v>
      </c>
    </row>
    <row r="108" spans="7:23" x14ac:dyDescent="0.25">
      <c r="G108" s="7">
        <f>_xlfn.NORM.DIST('DATA SIAP'!I107,$B$2,$B$3, FALSE)</f>
        <v>1.748545125674552E-2</v>
      </c>
      <c r="H108" s="7">
        <f>_xlfn.NORM.DIST('DATA SIAP'!J107,$C$2,$C$3, FALSE)</f>
        <v>5.2197094921759814E-2</v>
      </c>
      <c r="I108" s="7">
        <f>_xlfn.NORM.DIST('DATA SIAP'!K107,$D$2,$D$3, FALSE)</f>
        <v>0.1050040661958891</v>
      </c>
      <c r="J108" s="7">
        <f>_xlfn.NORM.DIST('DATA SIAP'!L107,$E$2,$E$3, FALSE)</f>
        <v>2.1262373914724585E-2</v>
      </c>
      <c r="L108" s="7">
        <f>_xlfn.NORM.DIST('DATA SIAP'!I107,$B$5,$B$6, FALSE)</f>
        <v>0.31813827532295402</v>
      </c>
      <c r="M108" s="7">
        <f>_xlfn.NORM.DIST('DATA SIAP'!J107,$C$5,$C$6, FALSE)</f>
        <v>5.295805972102325E-2</v>
      </c>
      <c r="N108" s="7">
        <f>_xlfn.NORM.DIST('DATA SIAP'!K107,$D$5,$D$6, FALSE)</f>
        <v>0.12960993474335217</v>
      </c>
      <c r="O108" s="7">
        <f>_xlfn.NORM.DIST('DATA SIAP'!L107,$E$5,$E$6, FALSE)</f>
        <v>2.3185753239039909E-2</v>
      </c>
      <c r="T108" s="7">
        <f t="shared" si="4"/>
        <v>1.1049520363862035E-6</v>
      </c>
      <c r="U108" s="7">
        <f t="shared" si="5"/>
        <v>2.3175680820795767E-5</v>
      </c>
      <c r="W108" s="7" t="str">
        <f t="shared" si="6"/>
        <v>ANEMIA</v>
      </c>
    </row>
    <row r="109" spans="7:23" x14ac:dyDescent="0.25">
      <c r="G109" s="7">
        <f>_xlfn.NORM.DIST('DATA SIAP'!I108,$B$2,$B$3, FALSE)</f>
        <v>0.30370402725352391</v>
      </c>
      <c r="H109" s="7">
        <f>_xlfn.NORM.DIST('DATA SIAP'!J108,$C$2,$C$3, FALSE)</f>
        <v>8.3941085230960333E-2</v>
      </c>
      <c r="I109" s="7">
        <f>_xlfn.NORM.DIST('DATA SIAP'!K108,$D$2,$D$3, FALSE)</f>
        <v>0.14591803167133907</v>
      </c>
      <c r="J109" s="7">
        <f>_xlfn.NORM.DIST('DATA SIAP'!L108,$E$2,$E$3, FALSE)</f>
        <v>3.6588931496218897E-2</v>
      </c>
      <c r="L109" s="7">
        <f>_xlfn.NORM.DIST('DATA SIAP'!I108,$B$5,$B$6, FALSE)</f>
        <v>7.2709962889710416E-3</v>
      </c>
      <c r="M109" s="7">
        <f>_xlfn.NORM.DIST('DATA SIAP'!J108,$C$5,$C$6, FALSE)</f>
        <v>8.0243081858341558E-2</v>
      </c>
      <c r="N109" s="7">
        <f>_xlfn.NORM.DIST('DATA SIAP'!K108,$D$5,$D$6, FALSE)</f>
        <v>0.11471631470308251</v>
      </c>
      <c r="O109" s="7">
        <f>_xlfn.NORM.DIST('DATA SIAP'!L108,$E$5,$E$6, FALSE)</f>
        <v>3.383466986551046E-2</v>
      </c>
      <c r="T109" s="7">
        <f t="shared" si="4"/>
        <v>7.3805070782029966E-5</v>
      </c>
      <c r="U109" s="7">
        <f t="shared" si="5"/>
        <v>1.0366058736671667E-6</v>
      </c>
      <c r="W109" s="7" t="str">
        <f t="shared" si="6"/>
        <v>SEHAT</v>
      </c>
    </row>
    <row r="110" spans="7:23" x14ac:dyDescent="0.25">
      <c r="G110" s="7">
        <f>_xlfn.NORM.DIST('DATA SIAP'!I109,$B$2,$B$3, FALSE)</f>
        <v>2.4872091471151239E-2</v>
      </c>
      <c r="H110" s="7">
        <f>_xlfn.NORM.DIST('DATA SIAP'!J109,$C$2,$C$3, FALSE)</f>
        <v>0.10380231782061897</v>
      </c>
      <c r="I110" s="7">
        <f>_xlfn.NORM.DIST('DATA SIAP'!K109,$D$2,$D$3, FALSE)</f>
        <v>0.1050040661958891</v>
      </c>
      <c r="J110" s="7">
        <f>_xlfn.NORM.DIST('DATA SIAP'!L109,$E$2,$E$3, FALSE)</f>
        <v>1.0809504701761355E-2</v>
      </c>
      <c r="L110" s="7">
        <f>_xlfn.NORM.DIST('DATA SIAP'!I109,$B$5,$B$6, FALSE)</f>
        <v>0.30264828161210117</v>
      </c>
      <c r="M110" s="7">
        <f>_xlfn.NORM.DIST('DATA SIAP'!J109,$C$5,$C$6, FALSE)</f>
        <v>9.6796090152300798E-2</v>
      </c>
      <c r="N110" s="7">
        <f>_xlfn.NORM.DIST('DATA SIAP'!K109,$D$5,$D$6, FALSE)</f>
        <v>0.12960993474335217</v>
      </c>
      <c r="O110" s="7">
        <f>_xlfn.NORM.DIST('DATA SIAP'!L109,$E$5,$E$6, FALSE)</f>
        <v>1.0857892593490025E-2</v>
      </c>
      <c r="T110" s="7">
        <f t="shared" si="4"/>
        <v>1.5890356837484884E-6</v>
      </c>
      <c r="U110" s="7">
        <f t="shared" si="5"/>
        <v>1.8871432729032416E-5</v>
      </c>
      <c r="W110" s="7" t="str">
        <f t="shared" si="6"/>
        <v>SEHAT</v>
      </c>
    </row>
    <row r="111" spans="7:23" x14ac:dyDescent="0.25">
      <c r="G111" s="7">
        <f>_xlfn.NORM.DIST('DATA SIAP'!I110,$B$2,$B$3, FALSE)</f>
        <v>1.2010622387859344E-2</v>
      </c>
      <c r="H111" s="7">
        <f>_xlfn.NORM.DIST('DATA SIAP'!J110,$C$2,$C$3, FALSE)</f>
        <v>9.8946481219223462E-2</v>
      </c>
      <c r="I111" s="7">
        <f>_xlfn.NORM.DIST('DATA SIAP'!K110,$D$2,$D$3, FALSE)</f>
        <v>0.25300927958246416</v>
      </c>
      <c r="J111" s="7">
        <f>_xlfn.NORM.DIST('DATA SIAP'!L110,$E$2,$E$3, FALSE)</f>
        <v>2.0989885043307982E-2</v>
      </c>
      <c r="L111" s="7">
        <f>_xlfn.NORM.DIST('DATA SIAP'!I110,$B$5,$B$6, FALSE)</f>
        <v>0.3255971339791599</v>
      </c>
      <c r="M111" s="7">
        <f>_xlfn.NORM.DIST('DATA SIAP'!J110,$C$5,$C$6, FALSE)</f>
        <v>9.298873747079453E-2</v>
      </c>
      <c r="N111" s="7">
        <f>_xlfn.NORM.DIST('DATA SIAP'!K110,$D$5,$D$6, FALSE)</f>
        <v>0.27885369204976324</v>
      </c>
      <c r="O111" s="7">
        <f>_xlfn.NORM.DIST('DATA SIAP'!L110,$E$5,$E$6, FALSE)</f>
        <v>2.2937844646151801E-2</v>
      </c>
      <c r="T111" s="7">
        <f t="shared" si="4"/>
        <v>3.4222738448053452E-6</v>
      </c>
      <c r="U111" s="7">
        <f t="shared" si="5"/>
        <v>8.8647183735848862E-5</v>
      </c>
      <c r="W111" s="7" t="str">
        <f t="shared" si="6"/>
        <v>ANEMIA</v>
      </c>
    </row>
    <row r="112" spans="7:23" x14ac:dyDescent="0.25">
      <c r="G112" s="7">
        <f>_xlfn.NORM.DIST('DATA SIAP'!I111,$B$2,$B$3, FALSE)</f>
        <v>0.15305099676198322</v>
      </c>
      <c r="H112" s="7">
        <f>_xlfn.NORM.DIST('DATA SIAP'!J111,$C$2,$C$3, FALSE)</f>
        <v>2.4752555115584038E-2</v>
      </c>
      <c r="I112" s="7">
        <f>_xlfn.NORM.DIST('DATA SIAP'!K111,$D$2,$D$3, FALSE)</f>
        <v>0.21834869514136626</v>
      </c>
      <c r="J112" s="7">
        <f>_xlfn.NORM.DIST('DATA SIAP'!L111,$E$2,$E$3, FALSE)</f>
        <v>1.0036166389547208E-2</v>
      </c>
      <c r="L112" s="7">
        <f>_xlfn.NORM.DIST('DATA SIAP'!I111,$B$5,$B$6, FALSE)</f>
        <v>0.10093193357148153</v>
      </c>
      <c r="M112" s="7">
        <f>_xlfn.NORM.DIST('DATA SIAP'!J111,$C$5,$C$6, FALSE)</f>
        <v>2.761166338920696E-2</v>
      </c>
      <c r="N112" s="7">
        <f>_xlfn.NORM.DIST('DATA SIAP'!K111,$D$5,$D$6, FALSE)</f>
        <v>0.19067592347995771</v>
      </c>
      <c r="O112" s="7">
        <f>_xlfn.NORM.DIST('DATA SIAP'!L111,$E$5,$E$6, FALSE)</f>
        <v>1.232420488663989E-2</v>
      </c>
      <c r="T112" s="7">
        <f t="shared" si="4"/>
        <v>4.5017050118980448E-6</v>
      </c>
      <c r="U112" s="7">
        <f t="shared" si="5"/>
        <v>2.9977881872447035E-6</v>
      </c>
      <c r="W112" s="7" t="str">
        <f t="shared" si="6"/>
        <v>ANEMIA</v>
      </c>
    </row>
    <row r="113" spans="7:23" x14ac:dyDescent="0.25">
      <c r="G113" s="7">
        <f>_xlfn.NORM.DIST('DATA SIAP'!I112,$B$2,$B$3, FALSE)</f>
        <v>0.12657029558409025</v>
      </c>
      <c r="H113" s="7">
        <f>_xlfn.NORM.DIST('DATA SIAP'!J112,$C$2,$C$3, FALSE)</f>
        <v>8.1208436893043662E-2</v>
      </c>
      <c r="I113" s="7">
        <f>_xlfn.NORM.DIST('DATA SIAP'!K112,$D$2,$D$3, FALSE)</f>
        <v>0.13402998203293126</v>
      </c>
      <c r="J113" s="7">
        <f>_xlfn.NORM.DIST('DATA SIAP'!L112,$E$2,$E$3, FALSE)</f>
        <v>2.8820520617336427E-2</v>
      </c>
      <c r="L113" s="7">
        <f>_xlfn.NORM.DIST('DATA SIAP'!I112,$B$5,$B$6, FALSE)</f>
        <v>0.12793745743646967</v>
      </c>
      <c r="M113" s="7">
        <f>_xlfn.NORM.DIST('DATA SIAP'!J112,$C$5,$C$6, FALSE)</f>
        <v>7.8447780358726182E-2</v>
      </c>
      <c r="N113" s="7">
        <f>_xlfn.NORM.DIST('DATA SIAP'!K112,$D$5,$D$6, FALSE)</f>
        <v>0.10342099402218156</v>
      </c>
      <c r="O113" s="7">
        <f>_xlfn.NORM.DIST('DATA SIAP'!L112,$E$5,$E$6, FALSE)</f>
        <v>2.9812223849529876E-2</v>
      </c>
      <c r="T113" s="7">
        <f t="shared" si="4"/>
        <v>2.152975597477122E-5</v>
      </c>
      <c r="U113" s="7">
        <f t="shared" si="5"/>
        <v>1.4164670256495073E-5</v>
      </c>
      <c r="W113" s="7" t="str">
        <f t="shared" si="6"/>
        <v>ANEMIA</v>
      </c>
    </row>
    <row r="114" spans="7:23" x14ac:dyDescent="0.25">
      <c r="G114" s="7">
        <f>_xlfn.NORM.DIST('DATA SIAP'!I113,$B$2,$B$3, FALSE)</f>
        <v>0.26753262994835175</v>
      </c>
      <c r="H114" s="7">
        <f>_xlfn.NORM.DIST('DATA SIAP'!J113,$C$2,$C$3, FALSE)</f>
        <v>0.10034169202848009</v>
      </c>
      <c r="I114" s="7">
        <f>_xlfn.NORM.DIST('DATA SIAP'!K113,$D$2,$D$3, FALSE)</f>
        <v>0.18761229391009854</v>
      </c>
      <c r="J114" s="7">
        <f>_xlfn.NORM.DIST('DATA SIAP'!L113,$E$2,$E$3, FALSE)</f>
        <v>1.2223042431969254E-2</v>
      </c>
      <c r="L114" s="7">
        <f>_xlfn.NORM.DIST('DATA SIAP'!I113,$B$5,$B$6, FALSE)</f>
        <v>1.2732285241197699E-3</v>
      </c>
      <c r="M114" s="7">
        <f>_xlfn.NORM.DIST('DATA SIAP'!J113,$C$5,$C$6, FALSE)</f>
        <v>9.3883204056385783E-2</v>
      </c>
      <c r="N114" s="7">
        <f>_xlfn.NORM.DIST('DATA SIAP'!K113,$D$5,$D$6, FALSE)</f>
        <v>0.21939825426614995</v>
      </c>
      <c r="O114" s="7">
        <f>_xlfn.NORM.DIST('DATA SIAP'!L113,$E$5,$E$6, FALSE)</f>
        <v>1.2151996871209204E-2</v>
      </c>
      <c r="T114" s="7">
        <f t="shared" si="4"/>
        <v>3.3381140654178183E-5</v>
      </c>
      <c r="U114" s="7">
        <f t="shared" si="5"/>
        <v>1.4588145669010571E-7</v>
      </c>
      <c r="W114" s="7" t="str">
        <f t="shared" si="6"/>
        <v>ANEMIA</v>
      </c>
    </row>
    <row r="115" spans="7:23" x14ac:dyDescent="0.25">
      <c r="G115" s="7">
        <f>_xlfn.NORM.DIST('DATA SIAP'!I114,$B$2,$B$3, FALSE)</f>
        <v>0.21902250053629846</v>
      </c>
      <c r="H115" s="7">
        <f>_xlfn.NORM.DIST('DATA SIAP'!J114,$C$2,$C$3, FALSE)</f>
        <v>3.3303204596245098E-2</v>
      </c>
      <c r="I115" s="7">
        <f>_xlfn.NORM.DIST('DATA SIAP'!K114,$D$2,$D$3, FALSE)</f>
        <v>0.23371301560207772</v>
      </c>
      <c r="J115" s="7">
        <f>_xlfn.NORM.DIST('DATA SIAP'!L114,$E$2,$E$3, FALSE)</f>
        <v>3.887231974283225E-2</v>
      </c>
      <c r="L115" s="7">
        <f>_xlfn.NORM.DIST('DATA SIAP'!I114,$B$5,$B$6, FALSE)</f>
        <v>4.061080910159737E-4</v>
      </c>
      <c r="M115" s="7">
        <f>_xlfn.NORM.DIST('DATA SIAP'!J114,$C$5,$C$6, FALSE)</f>
        <v>3.6265544838629503E-2</v>
      </c>
      <c r="N115" s="7">
        <f>_xlfn.NORM.DIST('DATA SIAP'!K114,$D$5,$D$6, FALSE)</f>
        <v>0.26307336761375211</v>
      </c>
      <c r="O115" s="7">
        <f>_xlfn.NORM.DIST('DATA SIAP'!L114,$E$5,$E$6, FALSE)</f>
        <v>3.7838035101675764E-2</v>
      </c>
      <c r="T115" s="7">
        <f t="shared" si="4"/>
        <v>3.5933580767543692E-5</v>
      </c>
      <c r="U115" s="7">
        <f t="shared" si="5"/>
        <v>6.7106767711698902E-8</v>
      </c>
      <c r="W115" s="7" t="str">
        <f t="shared" si="6"/>
        <v>ANEMIA</v>
      </c>
    </row>
    <row r="116" spans="7:23" x14ac:dyDescent="0.25">
      <c r="G116" s="7">
        <f>_xlfn.NORM.DIST('DATA SIAP'!I115,$B$2,$B$3, FALSE)</f>
        <v>0.28556630759985968</v>
      </c>
      <c r="H116" s="7">
        <f>_xlfn.NORM.DIST('DATA SIAP'!J115,$C$2,$C$3, FALSE)</f>
        <v>8.5517974112032574E-2</v>
      </c>
      <c r="I116" s="7">
        <f>_xlfn.NORM.DIST('DATA SIAP'!K115,$D$2,$D$3, FALSE)</f>
        <v>9.470219971360351E-2</v>
      </c>
      <c r="J116" s="7">
        <f>_xlfn.NORM.DIST('DATA SIAP'!L115,$E$2,$E$3, FALSE)</f>
        <v>2.1831801540822284E-2</v>
      </c>
      <c r="L116" s="7">
        <f>_xlfn.NORM.DIST('DATA SIAP'!I115,$B$5,$B$6, FALSE)</f>
        <v>2.1658038923362813E-3</v>
      </c>
      <c r="M116" s="7">
        <f>_xlfn.NORM.DIST('DATA SIAP'!J115,$C$5,$C$6, FALSE)</f>
        <v>8.2027027980283176E-2</v>
      </c>
      <c r="N116" s="7">
        <f>_xlfn.NORM.DIST('DATA SIAP'!K115,$D$5,$D$6, FALSE)</f>
        <v>0.1176432423163154</v>
      </c>
      <c r="O116" s="7">
        <f>_xlfn.NORM.DIST('DATA SIAP'!L115,$E$5,$E$6, FALSE)</f>
        <v>2.0751422517950147E-2</v>
      </c>
      <c r="T116" s="7">
        <f t="shared" si="4"/>
        <v>2.73789250263856E-5</v>
      </c>
      <c r="U116" s="7">
        <f t="shared" si="5"/>
        <v>1.9852535306731479E-7</v>
      </c>
      <c r="W116" s="7" t="str">
        <f t="shared" si="6"/>
        <v>ANEMIA</v>
      </c>
    </row>
    <row r="117" spans="7:23" x14ac:dyDescent="0.25">
      <c r="G117" s="7">
        <f>_xlfn.NORM.DIST('DATA SIAP'!I116,$B$2,$B$3, FALSE)</f>
        <v>0.16341699682690056</v>
      </c>
      <c r="H117" s="7">
        <f>_xlfn.NORM.DIST('DATA SIAP'!J116,$C$2,$C$3, FALSE)</f>
        <v>9.0607953466535732E-2</v>
      </c>
      <c r="I117" s="7">
        <f>_xlfn.NORM.DIST('DATA SIAP'!K116,$D$2,$D$3, FALSE)</f>
        <v>0.21153935719650352</v>
      </c>
      <c r="J117" s="7">
        <f>_xlfn.NORM.DIST('DATA SIAP'!L116,$E$2,$E$3, FALSE)</f>
        <v>1.5344466106817875E-2</v>
      </c>
      <c r="L117" s="7">
        <f>_xlfn.NORM.DIST('DATA SIAP'!I116,$B$5,$B$6, FALSE)</f>
        <v>1.1639241761785992E-4</v>
      </c>
      <c r="M117" s="7">
        <f>_xlfn.NORM.DIST('DATA SIAP'!J116,$C$5,$C$6, FALSE)</f>
        <v>8.5808856617558465E-2</v>
      </c>
      <c r="N117" s="7">
        <f>_xlfn.NORM.DIST('DATA SIAP'!K116,$D$5,$D$6, FALSE)</f>
        <v>0.24286362542611273</v>
      </c>
      <c r="O117" s="7">
        <f>_xlfn.NORM.DIST('DATA SIAP'!L116,$E$5,$E$6, FALSE)</f>
        <v>1.7641924748456633E-2</v>
      </c>
      <c r="T117" s="7">
        <f t="shared" si="4"/>
        <v>2.6062068964335787E-5</v>
      </c>
      <c r="U117" s="7">
        <f t="shared" si="5"/>
        <v>1.9588007227728876E-8</v>
      </c>
      <c r="W117" s="7" t="str">
        <f t="shared" si="6"/>
        <v>ANEMIA</v>
      </c>
    </row>
    <row r="118" spans="7:23" x14ac:dyDescent="0.25">
      <c r="G118" s="7">
        <f>_xlfn.NORM.DIST('DATA SIAP'!I117,$B$2,$B$3, FALSE)</f>
        <v>8.8499523969291977E-2</v>
      </c>
      <c r="H118" s="7">
        <f>_xlfn.NORM.DIST('DATA SIAP'!J117,$C$2,$C$3, FALSE)</f>
        <v>9.8116065219616064E-2</v>
      </c>
      <c r="I118" s="7">
        <f>_xlfn.NORM.DIST('DATA SIAP'!K117,$D$2,$D$3, FALSE)</f>
        <v>0.1050040661958891</v>
      </c>
      <c r="J118" s="7">
        <f>_xlfn.NORM.DIST('DATA SIAP'!L117,$E$2,$E$3, FALSE)</f>
        <v>3.3174881900893648E-2</v>
      </c>
      <c r="L118" s="7">
        <f>_xlfn.NORM.DIST('DATA SIAP'!I117,$B$5,$B$6, FALSE)</f>
        <v>1.4613401539122497E-5</v>
      </c>
      <c r="M118" s="7">
        <f>_xlfn.NORM.DIST('DATA SIAP'!J117,$C$5,$C$6, FALSE)</f>
        <v>9.2320555239639973E-2</v>
      </c>
      <c r="N118" s="7">
        <f>_xlfn.NORM.DIST('DATA SIAP'!K117,$D$5,$D$6, FALSE)</f>
        <v>0.12960993474335217</v>
      </c>
      <c r="O118" s="7">
        <f>_xlfn.NORM.DIST('DATA SIAP'!L117,$E$5,$E$6, FALSE)</f>
        <v>3.0770459100540219E-2</v>
      </c>
      <c r="T118" s="7">
        <f t="shared" si="4"/>
        <v>1.6402080584495463E-5</v>
      </c>
      <c r="U118" s="7">
        <f t="shared" si="5"/>
        <v>2.4629012877040887E-9</v>
      </c>
      <c r="W118" s="7" t="str">
        <f t="shared" si="6"/>
        <v>SEHAT</v>
      </c>
    </row>
    <row r="119" spans="7:23" x14ac:dyDescent="0.25">
      <c r="G119" s="7">
        <f>_xlfn.NORM.DIST('DATA SIAP'!I118,$B$2,$B$3, FALSE)</f>
        <v>9.1134535664730731E-2</v>
      </c>
      <c r="H119" s="7">
        <f>_xlfn.NORM.DIST('DATA SIAP'!J118,$C$2,$C$3, FALSE)</f>
        <v>0.10384175195231214</v>
      </c>
      <c r="I119" s="7">
        <f>_xlfn.NORM.DIST('DATA SIAP'!K118,$D$2,$D$3, FALSE)</f>
        <v>0.18263025300630079</v>
      </c>
      <c r="J119" s="7">
        <f>_xlfn.NORM.DIST('DATA SIAP'!L118,$E$2,$E$3, FALSE)</f>
        <v>1.4177798669074832E-2</v>
      </c>
      <c r="L119" s="7">
        <f>_xlfn.NORM.DIST('DATA SIAP'!I118,$B$5,$B$6, FALSE)</f>
        <v>0.17365085003564773</v>
      </c>
      <c r="M119" s="7">
        <f>_xlfn.NORM.DIST('DATA SIAP'!J118,$C$5,$C$6, FALSE)</f>
        <v>9.6839536160349904E-2</v>
      </c>
      <c r="N119" s="7">
        <f>_xlfn.NORM.DIST('DATA SIAP'!K118,$D$5,$D$6, FALSE)</f>
        <v>0.15154872267578176</v>
      </c>
      <c r="O119" s="7">
        <f>_xlfn.NORM.DIST('DATA SIAP'!L118,$E$5,$E$6, FALSE)</f>
        <v>1.6505217039435326E-2</v>
      </c>
      <c r="T119" s="7">
        <f t="shared" si="4"/>
        <v>1.3287366014466673E-5</v>
      </c>
      <c r="U119" s="7">
        <f t="shared" si="5"/>
        <v>1.9254318266879501E-5</v>
      </c>
      <c r="W119" s="7" t="str">
        <f t="shared" si="6"/>
        <v>ANEMIA</v>
      </c>
    </row>
    <row r="120" spans="7:23" x14ac:dyDescent="0.25">
      <c r="G120" s="7">
        <f>_xlfn.NORM.DIST('DATA SIAP'!I119,$B$2,$B$3, FALSE)</f>
        <v>0.19139514372715244</v>
      </c>
      <c r="H120" s="7">
        <f>_xlfn.NORM.DIST('DATA SIAP'!J119,$C$2,$C$3, FALSE)</f>
        <v>8.9354507034905398E-2</v>
      </c>
      <c r="I120" s="7">
        <f>_xlfn.NORM.DIST('DATA SIAP'!K119,$D$2,$D$3, FALSE)</f>
        <v>0.21153935719650352</v>
      </c>
      <c r="J120" s="7">
        <f>_xlfn.NORM.DIST('DATA SIAP'!L119,$E$2,$E$3, FALSE)</f>
        <v>3.3154678154368671E-2</v>
      </c>
      <c r="L120" s="7">
        <f>_xlfn.NORM.DIST('DATA SIAP'!I119,$B$5,$B$6, FALSE)</f>
        <v>2.2033814817541678E-4</v>
      </c>
      <c r="M120" s="7">
        <f>_xlfn.NORM.DIST('DATA SIAP'!J119,$C$5,$C$6, FALSE)</f>
        <v>8.4765481228408129E-2</v>
      </c>
      <c r="N120" s="7">
        <f>_xlfn.NORM.DIST('DATA SIAP'!K119,$D$5,$D$6, FALSE)</f>
        <v>0.24286362542611273</v>
      </c>
      <c r="O120" s="7">
        <f>_xlfn.NORM.DIST('DATA SIAP'!L119,$E$5,$E$6, FALSE)</f>
        <v>3.3398634130172113E-2</v>
      </c>
      <c r="T120" s="7">
        <f t="shared" si="4"/>
        <v>6.5040782101298425E-5</v>
      </c>
      <c r="U120" s="7">
        <f t="shared" si="5"/>
        <v>6.9346559520491311E-8</v>
      </c>
      <c r="W120" s="7" t="str">
        <f t="shared" si="6"/>
        <v>ANEMIA</v>
      </c>
    </row>
    <row r="121" spans="7:23" x14ac:dyDescent="0.25">
      <c r="G121" s="7">
        <f>_xlfn.NORM.DIST('DATA SIAP'!I120,$B$2,$B$3, FALSE)</f>
        <v>0.13632881677636685</v>
      </c>
      <c r="H121" s="7">
        <f>_xlfn.NORM.DIST('DATA SIAP'!J120,$C$2,$C$3, FALSE)</f>
        <v>0.10034169202848009</v>
      </c>
      <c r="I121" s="7">
        <f>_xlfn.NORM.DIST('DATA SIAP'!K120,$D$2,$D$3, FALSE)</f>
        <v>0.26124555659402876</v>
      </c>
      <c r="J121" s="7">
        <f>_xlfn.NORM.DIST('DATA SIAP'!L120,$E$2,$E$3, FALSE)</f>
        <v>1.2206716181644182E-2</v>
      </c>
      <c r="L121" s="7">
        <f>_xlfn.NORM.DIST('DATA SIAP'!I120,$B$5,$B$6, FALSE)</f>
        <v>5.9861366178646597E-5</v>
      </c>
      <c r="M121" s="7">
        <f>_xlfn.NORM.DIST('DATA SIAP'!J120,$C$5,$C$6, FALSE)</f>
        <v>9.3883204056385783E-2</v>
      </c>
      <c r="N121" s="7">
        <f>_xlfn.NORM.DIST('DATA SIAP'!K120,$D$5,$D$6, FALSE)</f>
        <v>0.28477087548562913</v>
      </c>
      <c r="O121" s="7">
        <f>_xlfn.NORM.DIST('DATA SIAP'!L120,$E$5,$E$6, FALSE)</f>
        <v>1.4545998876659373E-2</v>
      </c>
      <c r="T121" s="7">
        <f t="shared" si="4"/>
        <v>2.3654797016273801E-5</v>
      </c>
      <c r="U121" s="7">
        <f t="shared" si="5"/>
        <v>1.0656109129100362E-8</v>
      </c>
      <c r="W121" s="7" t="str">
        <f t="shared" si="6"/>
        <v>ANEMIA</v>
      </c>
    </row>
    <row r="122" spans="7:23" x14ac:dyDescent="0.25">
      <c r="G122" s="7">
        <f>_xlfn.NORM.DIST('DATA SIAP'!I121,$B$2,$B$3, FALSE)</f>
        <v>0.16684373170249162</v>
      </c>
      <c r="H122" s="7">
        <f>_xlfn.NORM.DIST('DATA SIAP'!J121,$C$2,$C$3, FALSE)</f>
        <v>4.4612571233796555E-2</v>
      </c>
      <c r="I122" s="7">
        <f>_xlfn.NORM.DIST('DATA SIAP'!K121,$D$2,$D$3, FALSE)</f>
        <v>0.20677634266355821</v>
      </c>
      <c r="J122" s="7">
        <f>_xlfn.NORM.DIST('DATA SIAP'!L121,$E$2,$E$3, FALSE)</f>
        <v>4.2601594960800189E-2</v>
      </c>
      <c r="L122" s="7">
        <f>_xlfn.NORM.DIST('DATA SIAP'!I121,$B$5,$B$6, FALSE)</f>
        <v>8.8754245198698567E-2</v>
      </c>
      <c r="M122" s="7">
        <f>_xlfn.NORM.DIST('DATA SIAP'!J121,$C$5,$C$6, FALSE)</f>
        <v>4.6720968910653693E-2</v>
      </c>
      <c r="N122" s="7">
        <f>_xlfn.NORM.DIST('DATA SIAP'!K121,$D$5,$D$6, FALSE)</f>
        <v>0.17758313678314452</v>
      </c>
      <c r="O122" s="7">
        <f>_xlfn.NORM.DIST('DATA SIAP'!L121,$E$5,$E$6, FALSE)</f>
        <v>4.0318036912044553E-2</v>
      </c>
      <c r="T122" s="7">
        <f t="shared" si="4"/>
        <v>3.5554636146338195E-5</v>
      </c>
      <c r="U122" s="7">
        <f t="shared" si="5"/>
        <v>1.3590238832259344E-5</v>
      </c>
      <c r="W122" s="7" t="str">
        <f t="shared" si="6"/>
        <v>ANEMIA</v>
      </c>
    </row>
    <row r="123" spans="7:23" x14ac:dyDescent="0.25">
      <c r="G123" s="7">
        <f>_xlfn.NORM.DIST('DATA SIAP'!I122,$B$2,$B$3, FALSE)</f>
        <v>9.9456018397713952E-2</v>
      </c>
      <c r="H123" s="7">
        <f>_xlfn.NORM.DIST('DATA SIAP'!J122,$C$2,$C$3, FALSE)</f>
        <v>7.6458664867871215E-2</v>
      </c>
      <c r="I123" s="7">
        <f>_xlfn.NORM.DIST('DATA SIAP'!K122,$D$2,$D$3, FALSE)</f>
        <v>7.5864629322429281E-2</v>
      </c>
      <c r="J123" s="7">
        <f>_xlfn.NORM.DIST('DATA SIAP'!L122,$E$2,$E$3, FALSE)</f>
        <v>3.7035319866964719E-2</v>
      </c>
      <c r="L123" s="7">
        <f>_xlfn.NORM.DIST('DATA SIAP'!I122,$B$5,$B$6, FALSE)</f>
        <v>2.0999310805191293E-5</v>
      </c>
      <c r="M123" s="7">
        <f>_xlfn.NORM.DIST('DATA SIAP'!J122,$C$5,$C$6, FALSE)</f>
        <v>7.3941003018580351E-2</v>
      </c>
      <c r="N123" s="7">
        <f>_xlfn.NORM.DIST('DATA SIAP'!K122,$D$5,$D$6, FALSE)</f>
        <v>9.5359332080553083E-2</v>
      </c>
      <c r="O123" s="7">
        <f>_xlfn.NORM.DIST('DATA SIAP'!L122,$E$5,$E$6, FALSE)</f>
        <v>3.4240271021540189E-2</v>
      </c>
      <c r="T123" s="7">
        <f t="shared" si="4"/>
        <v>1.1585521825997841E-5</v>
      </c>
      <c r="U123" s="7">
        <f t="shared" si="5"/>
        <v>2.3206828102282644E-9</v>
      </c>
      <c r="W123" s="7" t="str">
        <f t="shared" si="6"/>
        <v>SEHAT</v>
      </c>
    </row>
    <row r="124" spans="7:23" x14ac:dyDescent="0.25">
      <c r="G124" s="7">
        <f>_xlfn.NORM.DIST('DATA SIAP'!I123,$B$2,$B$3, FALSE)</f>
        <v>4.0399244277051952E-2</v>
      </c>
      <c r="H124" s="7">
        <f>_xlfn.NORM.DIST('DATA SIAP'!J123,$C$2,$C$3, FALSE)</f>
        <v>0.10329739699782942</v>
      </c>
      <c r="I124" s="7">
        <f>_xlfn.NORM.DIST('DATA SIAP'!K123,$D$2,$D$3, FALSE)</f>
        <v>0.27895172274462349</v>
      </c>
      <c r="J124" s="7">
        <f>_xlfn.NORM.DIST('DATA SIAP'!L123,$E$2,$E$3, FALSE)</f>
        <v>1.2861556934005956E-2</v>
      </c>
      <c r="L124" s="7">
        <f>_xlfn.NORM.DIST('DATA SIAP'!I123,$B$5,$B$6, FALSE)</f>
        <v>0.26708356345573886</v>
      </c>
      <c r="M124" s="7">
        <f>_xlfn.NORM.DIST('DATA SIAP'!J123,$C$5,$C$6, FALSE)</f>
        <v>9.6443539906064524E-2</v>
      </c>
      <c r="N124" s="7">
        <f>_xlfn.NORM.DIST('DATA SIAP'!K123,$D$5,$D$6, FALSE)</f>
        <v>0.29358288989759423</v>
      </c>
      <c r="O124" s="7">
        <f>_xlfn.NORM.DIST('DATA SIAP'!L123,$E$5,$E$6, FALSE)</f>
        <v>1.2733151007842723E-2</v>
      </c>
      <c r="T124" s="7">
        <f t="shared" si="4"/>
        <v>8.118720533063096E-6</v>
      </c>
      <c r="U124" s="7">
        <f t="shared" si="5"/>
        <v>4.4076991876415524E-5</v>
      </c>
      <c r="W124" s="7" t="str">
        <f t="shared" si="6"/>
        <v>ANEMIA</v>
      </c>
    </row>
    <row r="125" spans="7:23" x14ac:dyDescent="0.25">
      <c r="G125" s="7">
        <f>_xlfn.NORM.DIST('DATA SIAP'!I124,$B$2,$B$3, FALSE)</f>
        <v>0.27720518307710384</v>
      </c>
      <c r="H125" s="7">
        <f>_xlfn.NORM.DIST('DATA SIAP'!J124,$C$2,$C$3, FALSE)</f>
        <v>0.10381084285026893</v>
      </c>
      <c r="I125" s="7">
        <f>_xlfn.NORM.DIST('DATA SIAP'!K124,$D$2,$D$3, FALSE)</f>
        <v>0.28223010825692313</v>
      </c>
      <c r="J125" s="7">
        <f>_xlfn.NORM.DIST('DATA SIAP'!L124,$E$2,$E$3, FALSE)</f>
        <v>4.219978418989298E-2</v>
      </c>
      <c r="L125" s="7">
        <f>_xlfn.NORM.DIST('DATA SIAP'!I124,$B$5,$B$6, FALSE)</f>
        <v>1.666151072771268E-3</v>
      </c>
      <c r="M125" s="7">
        <f>_xlfn.NORM.DIST('DATA SIAP'!J124,$C$5,$C$6, FALSE)</f>
        <v>9.6825929758144746E-2</v>
      </c>
      <c r="N125" s="7">
        <f>_xlfn.NORM.DIST('DATA SIAP'!K124,$D$5,$D$6, FALSE)</f>
        <v>0.29338304844726315</v>
      </c>
      <c r="O125" s="7">
        <f>_xlfn.NORM.DIST('DATA SIAP'!L124,$E$5,$E$6, FALSE)</f>
        <v>3.9178660248575733E-2</v>
      </c>
      <c r="T125" s="7">
        <f t="shared" si="4"/>
        <v>1.8584890924284094E-4</v>
      </c>
      <c r="U125" s="7">
        <f t="shared" si="5"/>
        <v>8.4882011538467635E-7</v>
      </c>
      <c r="W125" s="7" t="str">
        <f t="shared" si="6"/>
        <v>SEHAT</v>
      </c>
    </row>
    <row r="126" spans="7:23" x14ac:dyDescent="0.25">
      <c r="G126" s="7">
        <f>_xlfn.NORM.DIST('DATA SIAP'!I125,$B$2,$B$3, FALSE)</f>
        <v>2.1201250670888029E-3</v>
      </c>
      <c r="H126" s="7">
        <f>_xlfn.NORM.DIST('DATA SIAP'!J125,$C$2,$C$3, FALSE)</f>
        <v>4.4612571233796555E-2</v>
      </c>
      <c r="I126" s="7">
        <f>_xlfn.NORM.DIST('DATA SIAP'!K125,$D$2,$D$3, FALSE)</f>
        <v>0.19972434609323236</v>
      </c>
      <c r="J126" s="7">
        <f>_xlfn.NORM.DIST('DATA SIAP'!L125,$E$2,$E$3, FALSE)</f>
        <v>4.3005048372796818E-2</v>
      </c>
      <c r="L126" s="7">
        <f>_xlfn.NORM.DIST('DATA SIAP'!I125,$B$5,$B$6, FALSE)</f>
        <v>0.27340634464238739</v>
      </c>
      <c r="M126" s="7">
        <f>_xlfn.NORM.DIST('DATA SIAP'!J125,$C$5,$C$6, FALSE)</f>
        <v>4.6720968910653693E-2</v>
      </c>
      <c r="N126" s="7">
        <f>_xlfn.NORM.DIST('DATA SIAP'!K125,$D$5,$D$6, FALSE)</f>
        <v>0.23145932521706172</v>
      </c>
      <c r="O126" s="7">
        <f>_xlfn.NORM.DIST('DATA SIAP'!L125,$E$5,$E$6, FALSE)</f>
        <v>4.0156793606372254E-2</v>
      </c>
      <c r="T126" s="7">
        <f t="shared" si="4"/>
        <v>4.4052601909182896E-7</v>
      </c>
      <c r="U126" s="7">
        <f t="shared" si="5"/>
        <v>5.4347447621129629E-5</v>
      </c>
      <c r="W126" s="7" t="str">
        <f t="shared" si="6"/>
        <v>SEHAT</v>
      </c>
    </row>
    <row r="127" spans="7:23" x14ac:dyDescent="0.25">
      <c r="G127" s="7">
        <f>_xlfn.NORM.DIST('DATA SIAP'!I126,$B$2,$B$3, FALSE)</f>
        <v>7.1119540327410455E-2</v>
      </c>
      <c r="H127" s="7">
        <f>_xlfn.NORM.DIST('DATA SIAP'!J126,$C$2,$C$3, FALSE)</f>
        <v>5.061046720391453E-2</v>
      </c>
      <c r="I127" s="7">
        <f>_xlfn.NORM.DIST('DATA SIAP'!K126,$D$2,$D$3, FALSE)</f>
        <v>0.15083248924656931</v>
      </c>
      <c r="J127" s="7">
        <f>_xlfn.NORM.DIST('DATA SIAP'!L126,$E$2,$E$3, FALSE)</f>
        <v>4.0884270843475373E-2</v>
      </c>
      <c r="L127" s="7">
        <f>_xlfn.NORM.DIST('DATA SIAP'!I126,$B$5,$B$6, FALSE)</f>
        <v>0.2058796345211516</v>
      </c>
      <c r="M127" s="7">
        <f>_xlfn.NORM.DIST('DATA SIAP'!J126,$C$5,$C$6, FALSE)</f>
        <v>5.1549117452228205E-2</v>
      </c>
      <c r="N127" s="7">
        <f>_xlfn.NORM.DIST('DATA SIAP'!K126,$D$5,$D$6, FALSE)</f>
        <v>0.18087822136530166</v>
      </c>
      <c r="O127" s="7">
        <f>_xlfn.NORM.DIST('DATA SIAP'!L126,$E$5,$E$6, FALSE)</f>
        <v>3.9267331598019643E-2</v>
      </c>
      <c r="T127" s="7">
        <f t="shared" si="4"/>
        <v>1.2036017854604928E-5</v>
      </c>
      <c r="U127" s="7">
        <f t="shared" si="5"/>
        <v>3.4504624372264869E-5</v>
      </c>
      <c r="W127" s="7" t="str">
        <f t="shared" si="6"/>
        <v>ANEMIA</v>
      </c>
    </row>
    <row r="128" spans="7:23" x14ac:dyDescent="0.25">
      <c r="G128" s="7">
        <f>_xlfn.NORM.DIST('DATA SIAP'!I127,$B$2,$B$3, FALSE)</f>
        <v>0.27939584624189906</v>
      </c>
      <c r="H128" s="7">
        <f>_xlfn.NORM.DIST('DATA SIAP'!J127,$C$2,$C$3, FALSE)</f>
        <v>3.8583323370972103E-2</v>
      </c>
      <c r="I128" s="7">
        <f>_xlfn.NORM.DIST('DATA SIAP'!K127,$D$2,$D$3, FALSE)</f>
        <v>0.26838104088565923</v>
      </c>
      <c r="J128" s="7">
        <f>_xlfn.NORM.DIST('DATA SIAP'!L127,$E$2,$E$3, FALSE)</f>
        <v>2.1810373616011066E-2</v>
      </c>
      <c r="L128" s="7">
        <f>_xlfn.NORM.DIST('DATA SIAP'!I127,$B$5,$B$6, FALSE)</f>
        <v>2.0653187980494803E-2</v>
      </c>
      <c r="M128" s="7">
        <f>_xlfn.NORM.DIST('DATA SIAP'!J127,$C$5,$C$6, FALSE)</f>
        <v>4.0674463420730174E-2</v>
      </c>
      <c r="N128" s="7">
        <f>_xlfn.NORM.DIST('DATA SIAP'!K127,$D$5,$D$6, FALSE)</f>
        <v>0.28924177494405268</v>
      </c>
      <c r="O128" s="7">
        <f>_xlfn.NORM.DIST('DATA SIAP'!L127,$E$5,$E$6, FALSE)</f>
        <v>2.3682331348347546E-2</v>
      </c>
      <c r="T128" s="7">
        <f t="shared" si="4"/>
        <v>3.4216603475940253E-5</v>
      </c>
      <c r="U128" s="7">
        <f t="shared" si="5"/>
        <v>2.6340220954507849E-6</v>
      </c>
      <c r="W128" s="7" t="str">
        <f t="shared" si="6"/>
        <v>SEHAT</v>
      </c>
    </row>
    <row r="129" spans="7:23" x14ac:dyDescent="0.25">
      <c r="G129" s="7">
        <f>_xlfn.NORM.DIST('DATA SIAP'!I128,$B$2,$B$3, FALSE)</f>
        <v>1.748545125674552E-2</v>
      </c>
      <c r="H129" s="7">
        <f>_xlfn.NORM.DIST('DATA SIAP'!J128,$C$2,$C$3, FALSE)</f>
        <v>9.5278291185476691E-2</v>
      </c>
      <c r="I129" s="7">
        <f>_xlfn.NORM.DIST('DATA SIAP'!K128,$D$2,$D$3, FALSE)</f>
        <v>0.2229162921895402</v>
      </c>
      <c r="J129" s="7">
        <f>_xlfn.NORM.DIST('DATA SIAP'!L128,$E$2,$E$3, FALSE)</f>
        <v>4.3072258595398885E-2</v>
      </c>
      <c r="L129" s="7">
        <f>_xlfn.NORM.DIST('DATA SIAP'!I128,$B$5,$B$6, FALSE)</f>
        <v>0.31813827532295402</v>
      </c>
      <c r="M129" s="7">
        <f>_xlfn.NORM.DIST('DATA SIAP'!J128,$C$5,$C$6, FALSE)</f>
        <v>9.0025826669986944E-2</v>
      </c>
      <c r="N129" s="7">
        <f>_xlfn.NORM.DIST('DATA SIAP'!K128,$D$5,$D$6, FALSE)</f>
        <v>0.25345247760741169</v>
      </c>
      <c r="O129" s="7">
        <f>_xlfn.NORM.DIST('DATA SIAP'!L128,$E$5,$E$6, FALSE)</f>
        <v>4.0286426900331102E-2</v>
      </c>
      <c r="T129" s="7">
        <f t="shared" si="4"/>
        <v>8.6738646601524916E-6</v>
      </c>
      <c r="U129" s="7">
        <f t="shared" si="5"/>
        <v>1.3386386008153951E-4</v>
      </c>
      <c r="W129" s="7" t="str">
        <f t="shared" si="6"/>
        <v>ANEMIA</v>
      </c>
    </row>
    <row r="130" spans="7:23" x14ac:dyDescent="0.25">
      <c r="G130" s="7">
        <f>_xlfn.NORM.DIST('DATA SIAP'!I129,$B$2,$B$3, FALSE)</f>
        <v>0.15305099676198322</v>
      </c>
      <c r="H130" s="7">
        <f>_xlfn.NORM.DIST('DATA SIAP'!J129,$C$2,$C$3, FALSE)</f>
        <v>8.8217960599770509E-2</v>
      </c>
      <c r="I130" s="7">
        <f>_xlfn.NORM.DIST('DATA SIAP'!K129,$D$2,$D$3, FALSE)</f>
        <v>0.26838104088565923</v>
      </c>
      <c r="J130" s="7">
        <f>_xlfn.NORM.DIST('DATA SIAP'!L129,$E$2,$E$3, FALSE)</f>
        <v>1.8331835798859955E-2</v>
      </c>
      <c r="L130" s="7">
        <f>_xlfn.NORM.DIST('DATA SIAP'!I129,$B$5,$B$6, FALSE)</f>
        <v>0.10093193357148153</v>
      </c>
      <c r="M130" s="7">
        <f>_xlfn.NORM.DIST('DATA SIAP'!J129,$C$5,$C$6, FALSE)</f>
        <v>8.4254861919261834E-2</v>
      </c>
      <c r="N130" s="7">
        <f>_xlfn.NORM.DIST('DATA SIAP'!K129,$D$5,$D$6, FALSE)</f>
        <v>0.28924177494405268</v>
      </c>
      <c r="O130" s="7">
        <f>_xlfn.NORM.DIST('DATA SIAP'!L129,$E$5,$E$6, FALSE)</f>
        <v>2.0483804805992913E-2</v>
      </c>
      <c r="T130" s="7">
        <f t="shared" si="4"/>
        <v>3.6020799521895003E-5</v>
      </c>
      <c r="U130" s="7">
        <f t="shared" si="5"/>
        <v>2.3063234950844688E-5</v>
      </c>
      <c r="W130" s="7" t="str">
        <f t="shared" si="6"/>
        <v>ANEMIA</v>
      </c>
    </row>
    <row r="131" spans="7:23" x14ac:dyDescent="0.25">
      <c r="G131" s="7">
        <f>_xlfn.NORM.DIST('DATA SIAP'!I130,$B$2,$B$3, FALSE)</f>
        <v>0.16341699682690056</v>
      </c>
      <c r="H131" s="7">
        <f>_xlfn.NORM.DIST('DATA SIAP'!J130,$C$2,$C$3, FALSE)</f>
        <v>7.3307405012834989E-2</v>
      </c>
      <c r="I131" s="7">
        <f>_xlfn.NORM.DIST('DATA SIAP'!K130,$D$2,$D$3, FALSE)</f>
        <v>0.16303965166659332</v>
      </c>
      <c r="J131" s="7">
        <f>_xlfn.NORM.DIST('DATA SIAP'!L130,$E$2,$E$3, FALSE)</f>
        <v>2.2916996529884791E-2</v>
      </c>
      <c r="L131" s="7">
        <f>_xlfn.NORM.DIST('DATA SIAP'!I130,$B$5,$B$6, FALSE)</f>
        <v>1.1639241761785992E-4</v>
      </c>
      <c r="M131" s="7">
        <f>_xlfn.NORM.DIST('DATA SIAP'!J130,$C$5,$C$6, FALSE)</f>
        <v>7.1266439731471828E-2</v>
      </c>
      <c r="N131" s="7">
        <f>_xlfn.NORM.DIST('DATA SIAP'!K130,$D$5,$D$6, FALSE)</f>
        <v>0.19394963457395645</v>
      </c>
      <c r="O131" s="7">
        <f>_xlfn.NORM.DIST('DATA SIAP'!L130,$E$5,$E$6, FALSE)</f>
        <v>2.4677155411624456E-2</v>
      </c>
      <c r="T131" s="7">
        <f t="shared" ref="T131:T194" si="7">$R$2 * G131 * H131 * I131 * J131</f>
        <v>2.4271599087934418E-5</v>
      </c>
      <c r="U131" s="7">
        <f t="shared" ref="U131:U194" si="8">$R$3 * L131 * M131 * N131 * O131</f>
        <v>1.8172673608201977E-8</v>
      </c>
      <c r="W131" s="7" t="str">
        <f t="shared" si="6"/>
        <v>SEHAT</v>
      </c>
    </row>
    <row r="132" spans="7:23" x14ac:dyDescent="0.25">
      <c r="G132" s="7">
        <f>_xlfn.NORM.DIST('DATA SIAP'!I131,$B$2,$B$3, FALSE)</f>
        <v>4.0399244277051952E-2</v>
      </c>
      <c r="H132" s="7">
        <f>_xlfn.NORM.DIST('DATA SIAP'!J131,$C$2,$C$3, FALSE)</f>
        <v>4.0009173504538843E-2</v>
      </c>
      <c r="I132" s="7">
        <f>_xlfn.NORM.DIST('DATA SIAP'!K131,$D$2,$D$3, FALSE)</f>
        <v>0.26124555659402876</v>
      </c>
      <c r="J132" s="7">
        <f>_xlfn.NORM.DIST('DATA SIAP'!L131,$E$2,$E$3, FALSE)</f>
        <v>4.089542448662415E-2</v>
      </c>
      <c r="L132" s="7">
        <f>_xlfn.NORM.DIST('DATA SIAP'!I131,$B$5,$B$6, FALSE)</f>
        <v>0.26708356345573886</v>
      </c>
      <c r="M132" s="7">
        <f>_xlfn.NORM.DIST('DATA SIAP'!J131,$C$5,$C$6, FALSE)</f>
        <v>4.1983625779858522E-2</v>
      </c>
      <c r="N132" s="7">
        <f>_xlfn.NORM.DIST('DATA SIAP'!K131,$D$5,$D$6, FALSE)</f>
        <v>0.28477087548562913</v>
      </c>
      <c r="O132" s="7">
        <f>_xlfn.NORM.DIST('DATA SIAP'!L131,$E$5,$E$6, FALSE)</f>
        <v>3.7852402631898152E-2</v>
      </c>
      <c r="T132" s="7">
        <f t="shared" si="7"/>
        <v>9.3639445821537038E-6</v>
      </c>
      <c r="U132" s="7">
        <f t="shared" si="8"/>
        <v>5.53275116081729E-5</v>
      </c>
      <c r="W132" s="7" t="str">
        <f t="shared" ref="W132:W195" si="9">IF(T133&gt;U133, "ANEMIA", "SEHAT")</f>
        <v>SEHAT</v>
      </c>
    </row>
    <row r="133" spans="7:23" x14ac:dyDescent="0.25">
      <c r="G133" s="7">
        <f>_xlfn.NORM.DIST('DATA SIAP'!I132,$B$2,$B$3, FALSE)</f>
        <v>7.1119540327410455E-2</v>
      </c>
      <c r="H133" s="7">
        <f>_xlfn.NORM.DIST('DATA SIAP'!J132,$C$2,$C$3, FALSE)</f>
        <v>9.7115001686991193E-2</v>
      </c>
      <c r="I133" s="7">
        <f>_xlfn.NORM.DIST('DATA SIAP'!K132,$D$2,$D$3, FALSE)</f>
        <v>0.16303965166659332</v>
      </c>
      <c r="J133" s="7">
        <f>_xlfn.NORM.DIST('DATA SIAP'!L132,$E$2,$E$3, FALSE)</f>
        <v>1.3968091235696921E-2</v>
      </c>
      <c r="L133" s="7">
        <f>_xlfn.NORM.DIST('DATA SIAP'!I132,$B$5,$B$6, FALSE)</f>
        <v>0.2058796345211516</v>
      </c>
      <c r="M133" s="7">
        <f>_xlfn.NORM.DIST('DATA SIAP'!J132,$C$5,$C$6, FALSE)</f>
        <v>9.1208750568405911E-2</v>
      </c>
      <c r="N133" s="7">
        <f>_xlfn.NORM.DIST('DATA SIAP'!K132,$D$5,$D$6, FALSE)</f>
        <v>0.19394963457395645</v>
      </c>
      <c r="O133" s="7">
        <f>_xlfn.NORM.DIST('DATA SIAP'!L132,$E$5,$E$6, FALSE)</f>
        <v>1.3735881948872446E-2</v>
      </c>
      <c r="T133" s="7">
        <f t="shared" si="7"/>
        <v>8.5291930755127404E-6</v>
      </c>
      <c r="U133" s="7">
        <f t="shared" si="8"/>
        <v>2.2899205935025531E-5</v>
      </c>
      <c r="W133" s="7" t="str">
        <f t="shared" si="9"/>
        <v>ANEMIA</v>
      </c>
    </row>
    <row r="134" spans="7:23" x14ac:dyDescent="0.25">
      <c r="G134" s="7">
        <f>_xlfn.NORM.DIST('DATA SIAP'!I133,$B$2,$B$3, FALSE)</f>
        <v>0.2354474783467411</v>
      </c>
      <c r="H134" s="7">
        <f>_xlfn.NORM.DIST('DATA SIAP'!J133,$C$2,$C$3, FALSE)</f>
        <v>8.6722943831225807E-2</v>
      </c>
      <c r="I134" s="7">
        <f>_xlfn.NORM.DIST('DATA SIAP'!K133,$D$2,$D$3, FALSE)</f>
        <v>0.22939862492988175</v>
      </c>
      <c r="J134" s="7">
        <f>_xlfn.NORM.DIST('DATA SIAP'!L133,$E$2,$E$3, FALSE)</f>
        <v>1.6826451502239177E-2</v>
      </c>
      <c r="L134" s="7">
        <f>_xlfn.NORM.DIST('DATA SIAP'!I133,$B$5,$B$6, FALSE)</f>
        <v>4.2212674869411319E-2</v>
      </c>
      <c r="M134" s="7">
        <f>_xlfn.NORM.DIST('DATA SIAP'!J133,$C$5,$C$6, FALSE)</f>
        <v>8.2570542085344992E-2</v>
      </c>
      <c r="N134" s="7">
        <f>_xlfn.NORM.DIST('DATA SIAP'!K133,$D$5,$D$6, FALSE)</f>
        <v>0.20362742527633393</v>
      </c>
      <c r="O134" s="7">
        <f>_xlfn.NORM.DIST('DATA SIAP'!L133,$E$5,$E$6, FALSE)</f>
        <v>1.6304649065952376E-2</v>
      </c>
      <c r="T134" s="7">
        <f t="shared" si="7"/>
        <v>4.273795961781204E-5</v>
      </c>
      <c r="U134" s="7">
        <f t="shared" si="8"/>
        <v>5.2971314038225259E-6</v>
      </c>
      <c r="W134" s="7" t="str">
        <f t="shared" si="9"/>
        <v>SEHAT</v>
      </c>
    </row>
    <row r="135" spans="7:23" x14ac:dyDescent="0.25">
      <c r="G135" s="7">
        <f>_xlfn.NORM.DIST('DATA SIAP'!I134,$B$2,$B$3, FALSE)</f>
        <v>6.5464560736304186E-3</v>
      </c>
      <c r="H135" s="7">
        <f>_xlfn.NORM.DIST('DATA SIAP'!J134,$C$2,$C$3, FALSE)</f>
        <v>2.6997222017889101E-2</v>
      </c>
      <c r="I135" s="7">
        <f>_xlfn.NORM.DIST('DATA SIAP'!K134,$D$2,$D$3, FALSE)</f>
        <v>0.28409794666229643</v>
      </c>
      <c r="J135" s="7">
        <f>_xlfn.NORM.DIST('DATA SIAP'!L134,$E$2,$E$3, FALSE)</f>
        <v>3.4920800842711819E-2</v>
      </c>
      <c r="L135" s="7">
        <f>_xlfn.NORM.DIST('DATA SIAP'!I134,$B$5,$B$6, FALSE)</f>
        <v>0.32062919492472447</v>
      </c>
      <c r="M135" s="7">
        <f>_xlfn.NORM.DIST('DATA SIAP'!J134,$C$5,$C$6, FALSE)</f>
        <v>2.9783991410890026E-2</v>
      </c>
      <c r="N135" s="7">
        <f>_xlfn.NORM.DIST('DATA SIAP'!K134,$D$5,$D$6, FALSE)</f>
        <v>0.29159869003801719</v>
      </c>
      <c r="O135" s="7">
        <f>_xlfn.NORM.DIST('DATA SIAP'!L134,$E$5,$E$6, FALSE)</f>
        <v>3.4811108538322609E-2</v>
      </c>
      <c r="T135" s="7">
        <f t="shared" si="7"/>
        <v>9.5077993233769034E-7</v>
      </c>
      <c r="U135" s="7">
        <f t="shared" si="8"/>
        <v>4.4372550952066956E-5</v>
      </c>
      <c r="W135" s="7" t="str">
        <f t="shared" si="9"/>
        <v>ANEMIA</v>
      </c>
    </row>
    <row r="136" spans="7:23" x14ac:dyDescent="0.25">
      <c r="G136" s="7">
        <f>_xlfn.NORM.DIST('DATA SIAP'!I135,$B$2,$B$3, FALSE)</f>
        <v>0.13632881677636685</v>
      </c>
      <c r="H136" s="7">
        <f>_xlfn.NORM.DIST('DATA SIAP'!J135,$C$2,$C$3, FALSE)</f>
        <v>5.3797001958017156E-2</v>
      </c>
      <c r="I136" s="7">
        <f>_xlfn.NORM.DIST('DATA SIAP'!K135,$D$2,$D$3, FALSE)</f>
        <v>0.13402998203293126</v>
      </c>
      <c r="J136" s="7">
        <f>_xlfn.NORM.DIST('DATA SIAP'!L135,$E$2,$E$3, FALSE)</f>
        <v>3.5423948003398931E-2</v>
      </c>
      <c r="L136" s="7">
        <f>_xlfn.NORM.DIST('DATA SIAP'!I135,$B$5,$B$6, FALSE)</f>
        <v>5.9861366178646597E-5</v>
      </c>
      <c r="M136" s="7">
        <f>_xlfn.NORM.DIST('DATA SIAP'!J135,$C$5,$C$6, FALSE)</f>
        <v>5.43734620098731E-2</v>
      </c>
      <c r="N136" s="7">
        <f>_xlfn.NORM.DIST('DATA SIAP'!K135,$D$5,$D$6, FALSE)</f>
        <v>0.10342099402218156</v>
      </c>
      <c r="O136" s="7">
        <f>_xlfn.NORM.DIST('DATA SIAP'!L135,$E$5,$E$6, FALSE)</f>
        <v>3.2782523236828696E-2</v>
      </c>
      <c r="T136" s="7">
        <f t="shared" si="7"/>
        <v>1.8881958593314685E-5</v>
      </c>
      <c r="U136" s="7">
        <f t="shared" si="8"/>
        <v>5.0513761302038457E-9</v>
      </c>
      <c r="W136" s="7" t="str">
        <f t="shared" si="9"/>
        <v>SEHAT</v>
      </c>
    </row>
    <row r="137" spans="7:23" x14ac:dyDescent="0.25">
      <c r="G137" s="7">
        <f>_xlfn.NORM.DIST('DATA SIAP'!I136,$B$2,$B$3, FALSE)</f>
        <v>4.2433147805415582E-3</v>
      </c>
      <c r="H137" s="7">
        <f>_xlfn.NORM.DIST('DATA SIAP'!J136,$C$2,$C$3, FALSE)</f>
        <v>8.9508741460164298E-2</v>
      </c>
      <c r="I137" s="7">
        <f>_xlfn.NORM.DIST('DATA SIAP'!K136,$D$2,$D$3, FALSE)</f>
        <v>0.27895172274462349</v>
      </c>
      <c r="J137" s="7">
        <f>_xlfn.NORM.DIST('DATA SIAP'!L136,$E$2,$E$3, FALSE)</f>
        <v>3.8483836326366101E-2</v>
      </c>
      <c r="L137" s="7">
        <f>_xlfn.NORM.DIST('DATA SIAP'!I136,$B$5,$B$6, FALSE)</f>
        <v>0.30692698152080589</v>
      </c>
      <c r="M137" s="7">
        <f>_xlfn.NORM.DIST('DATA SIAP'!J136,$C$5,$C$6, FALSE)</f>
        <v>8.5315924991852532E-2</v>
      </c>
      <c r="N137" s="7">
        <f>_xlfn.NORM.DIST('DATA SIAP'!K136,$D$5,$D$6, FALSE)</f>
        <v>0.29358288989759423</v>
      </c>
      <c r="O137" s="7">
        <f>_xlfn.NORM.DIST('DATA SIAP'!L136,$E$5,$E$6, FALSE)</f>
        <v>3.755083697477074E-2</v>
      </c>
      <c r="T137" s="7">
        <f t="shared" si="7"/>
        <v>2.210957978334821E-6</v>
      </c>
      <c r="U137" s="7">
        <f t="shared" si="8"/>
        <v>1.3214189999010299E-4</v>
      </c>
      <c r="W137" s="7" t="str">
        <f t="shared" si="9"/>
        <v>SEHAT</v>
      </c>
    </row>
    <row r="138" spans="7:23" x14ac:dyDescent="0.25">
      <c r="G138" s="7">
        <f>_xlfn.NORM.DIST('DATA SIAP'!I137,$B$2,$B$3, FALSE)</f>
        <v>0.11410407611236259</v>
      </c>
      <c r="H138" s="7">
        <f>_xlfn.NORM.DIST('DATA SIAP'!J137,$C$2,$C$3, FALSE)</f>
        <v>3.4624801075578519E-2</v>
      </c>
      <c r="I138" s="7">
        <f>_xlfn.NORM.DIST('DATA SIAP'!K137,$D$2,$D$3, FALSE)</f>
        <v>9.470219971360351E-2</v>
      </c>
      <c r="J138" s="7">
        <f>_xlfn.NORM.DIST('DATA SIAP'!L137,$E$2,$E$3, FALSE)</f>
        <v>9.6704989457077634E-3</v>
      </c>
      <c r="L138" s="7">
        <f>_xlfn.NORM.DIST('DATA SIAP'!I137,$B$5,$B$6, FALSE)</f>
        <v>0.14260257889943467</v>
      </c>
      <c r="M138" s="7">
        <f>_xlfn.NORM.DIST('DATA SIAP'!J137,$C$5,$C$6, FALSE)</f>
        <v>3.7509570854176257E-2</v>
      </c>
      <c r="N138" s="7">
        <f>_xlfn.NORM.DIST('DATA SIAP'!K137,$D$5,$D$6, FALSE)</f>
        <v>0.1176432423163154</v>
      </c>
      <c r="O138" s="7">
        <f>_xlfn.NORM.DIST('DATA SIAP'!L137,$E$5,$E$6, FALSE)</f>
        <v>1.194236375108941E-2</v>
      </c>
      <c r="T138" s="7">
        <f t="shared" si="7"/>
        <v>1.9620034891469402E-6</v>
      </c>
      <c r="U138" s="7">
        <f t="shared" si="8"/>
        <v>3.4399471307824704E-6</v>
      </c>
      <c r="W138" s="7" t="str">
        <f t="shared" si="9"/>
        <v>ANEMIA</v>
      </c>
    </row>
    <row r="139" spans="7:23" x14ac:dyDescent="0.25">
      <c r="G139" s="7">
        <f>_xlfn.NORM.DIST('DATA SIAP'!I138,$B$2,$B$3, FALSE)</f>
        <v>8.8499523969291977E-2</v>
      </c>
      <c r="H139" s="7">
        <f>_xlfn.NORM.DIST('DATA SIAP'!J138,$C$2,$C$3, FALSE)</f>
        <v>2.8166133365184001E-2</v>
      </c>
      <c r="I139" s="7">
        <f>_xlfn.NORM.DIST('DATA SIAP'!K138,$D$2,$D$3, FALSE)</f>
        <v>0.28351038637612513</v>
      </c>
      <c r="J139" s="7">
        <f>_xlfn.NORM.DIST('DATA SIAP'!L138,$E$2,$E$3, FALSE)</f>
        <v>3.1298412176428786E-2</v>
      </c>
      <c r="L139" s="7">
        <f>_xlfn.NORM.DIST('DATA SIAP'!I138,$B$5,$B$6, FALSE)</f>
        <v>1.4613401539122497E-5</v>
      </c>
      <c r="M139" s="7">
        <f>_xlfn.NORM.DIST('DATA SIAP'!J138,$C$5,$C$6, FALSE)</f>
        <v>3.0906099393347899E-2</v>
      </c>
      <c r="N139" s="7">
        <f>_xlfn.NORM.DIST('DATA SIAP'!K138,$D$5,$D$6, FALSE)</f>
        <v>0.2834167413939313</v>
      </c>
      <c r="O139" s="7">
        <f>_xlfn.NORM.DIST('DATA SIAP'!L138,$E$5,$E$6, FALSE)</f>
        <v>3.1882438271472101E-2</v>
      </c>
      <c r="T139" s="7">
        <f t="shared" si="7"/>
        <v>1.1993938737375316E-5</v>
      </c>
      <c r="U139" s="7">
        <f t="shared" si="8"/>
        <v>1.8680889643527929E-9</v>
      </c>
      <c r="W139" s="7" t="str">
        <f t="shared" si="9"/>
        <v>ANEMIA</v>
      </c>
    </row>
    <row r="140" spans="7:23" x14ac:dyDescent="0.25">
      <c r="G140" s="7">
        <f>_xlfn.NORM.DIST('DATA SIAP'!I139,$B$2,$B$3, FALSE)</f>
        <v>0.20874557925923554</v>
      </c>
      <c r="H140" s="7">
        <f>_xlfn.NORM.DIST('DATA SIAP'!J139,$C$2,$C$3, FALSE)</f>
        <v>9.8946481219223462E-2</v>
      </c>
      <c r="I140" s="7">
        <f>_xlfn.NORM.DIST('DATA SIAP'!K139,$D$2,$D$3, FALSE)</f>
        <v>7.2336844110314991E-2</v>
      </c>
      <c r="J140" s="7">
        <f>_xlfn.NORM.DIST('DATA SIAP'!L139,$E$2,$E$3, FALSE)</f>
        <v>4.3032461120609641E-2</v>
      </c>
      <c r="L140" s="7">
        <f>_xlfn.NORM.DIST('DATA SIAP'!I139,$B$5,$B$6, FALSE)</f>
        <v>5.7976390272245056E-2</v>
      </c>
      <c r="M140" s="7">
        <f>_xlfn.NORM.DIST('DATA SIAP'!J139,$C$5,$C$6, FALSE)</f>
        <v>9.298873747079453E-2</v>
      </c>
      <c r="N140" s="7">
        <f>_xlfn.NORM.DIST('DATA SIAP'!K139,$D$5,$D$6, FALSE)</f>
        <v>4.9554332509160672E-2</v>
      </c>
      <c r="O140" s="7">
        <f>_xlfn.NORM.DIST('DATA SIAP'!L139,$E$5,$E$6, FALSE)</f>
        <v>4.0204091820371483E-2</v>
      </c>
      <c r="T140" s="7">
        <f t="shared" si="7"/>
        <v>3.4863883730956111E-5</v>
      </c>
      <c r="U140" s="7">
        <f t="shared" si="8"/>
        <v>4.9165269274550882E-6</v>
      </c>
      <c r="W140" s="7" t="str">
        <f t="shared" si="9"/>
        <v>ANEMIA</v>
      </c>
    </row>
    <row r="141" spans="7:23" x14ac:dyDescent="0.25">
      <c r="G141" s="7">
        <f>_xlfn.NORM.DIST('DATA SIAP'!I140,$B$2,$B$3, FALSE)</f>
        <v>9.9456018397713952E-2</v>
      </c>
      <c r="H141" s="7">
        <f>_xlfn.NORM.DIST('DATA SIAP'!J140,$C$2,$C$3, FALSE)</f>
        <v>9.7226722749690922E-2</v>
      </c>
      <c r="I141" s="7">
        <f>_xlfn.NORM.DIST('DATA SIAP'!K140,$D$2,$D$3, FALSE)</f>
        <v>0.27431225568526008</v>
      </c>
      <c r="J141" s="7">
        <f>_xlfn.NORM.DIST('DATA SIAP'!L140,$E$2,$E$3, FALSE)</f>
        <v>3.746966136661474E-2</v>
      </c>
      <c r="L141" s="7">
        <f>_xlfn.NORM.DIST('DATA SIAP'!I140,$B$5,$B$6, FALSE)</f>
        <v>2.0999310805191293E-5</v>
      </c>
      <c r="M141" s="7">
        <f>_xlfn.NORM.DIST('DATA SIAP'!J140,$C$5,$C$6, FALSE)</f>
        <v>9.1603180839353024E-2</v>
      </c>
      <c r="N141" s="7">
        <f>_xlfn.NORM.DIST('DATA SIAP'!K140,$D$5,$D$6, FALSE)</f>
        <v>0.29219497405814265</v>
      </c>
      <c r="O141" s="7">
        <f>_xlfn.NORM.DIST('DATA SIAP'!L140,$E$5,$E$6, FALSE)</f>
        <v>3.4636486337803536E-2</v>
      </c>
      <c r="T141" s="7">
        <f t="shared" si="7"/>
        <v>5.3894453968170607E-5</v>
      </c>
      <c r="U141" s="7">
        <f t="shared" si="8"/>
        <v>8.9114254585890236E-9</v>
      </c>
      <c r="W141" s="7" t="str">
        <f t="shared" si="9"/>
        <v>ANEMIA</v>
      </c>
    </row>
    <row r="142" spans="7:23" x14ac:dyDescent="0.25">
      <c r="G142" s="7">
        <f>_xlfn.NORM.DIST('DATA SIAP'!I141,$B$2,$B$3, FALSE)</f>
        <v>0.16684373170249162</v>
      </c>
      <c r="H142" s="7">
        <f>_xlfn.NORM.DIST('DATA SIAP'!J141,$C$2,$C$3, FALSE)</f>
        <v>9.7115001686991193E-2</v>
      </c>
      <c r="I142" s="7">
        <f>_xlfn.NORM.DIST('DATA SIAP'!K141,$D$2,$D$3, FALSE)</f>
        <v>0.27895172274462349</v>
      </c>
      <c r="J142" s="7">
        <f>_xlfn.NORM.DIST('DATA SIAP'!L141,$E$2,$E$3, FALSE)</f>
        <v>3.2652871191305E-2</v>
      </c>
      <c r="L142" s="7">
        <f>_xlfn.NORM.DIST('DATA SIAP'!I141,$B$5,$B$6, FALSE)</f>
        <v>8.8754245198698567E-2</v>
      </c>
      <c r="M142" s="7">
        <f>_xlfn.NORM.DIST('DATA SIAP'!J141,$C$5,$C$6, FALSE)</f>
        <v>9.1208750568405911E-2</v>
      </c>
      <c r="N142" s="7">
        <f>_xlfn.NORM.DIST('DATA SIAP'!K141,$D$5,$D$6, FALSE)</f>
        <v>0.29358288989759423</v>
      </c>
      <c r="O142" s="7">
        <f>_xlfn.NORM.DIST('DATA SIAP'!L141,$E$5,$E$6, FALSE)</f>
        <v>3.0306082915879547E-2</v>
      </c>
      <c r="T142" s="7">
        <f t="shared" si="7"/>
        <v>8.0029300462545336E-5</v>
      </c>
      <c r="U142" s="7">
        <f t="shared" si="8"/>
        <v>3.2969412023801669E-5</v>
      </c>
      <c r="W142" s="7" t="str">
        <f t="shared" si="9"/>
        <v>ANEMIA</v>
      </c>
    </row>
    <row r="143" spans="7:23" x14ac:dyDescent="0.25">
      <c r="G143" s="7">
        <f>_xlfn.NORM.DIST('DATA SIAP'!I142,$B$2,$B$3, FALSE)</f>
        <v>0.20874557925923554</v>
      </c>
      <c r="H143" s="7">
        <f>_xlfn.NORM.DIST('DATA SIAP'!J142,$C$2,$C$3, FALSE)</f>
        <v>0.10260832370383424</v>
      </c>
      <c r="I143" s="7">
        <f>_xlfn.NORM.DIST('DATA SIAP'!K142,$D$2,$D$3, FALSE)</f>
        <v>0.20677634266355821</v>
      </c>
      <c r="J143" s="7">
        <f>_xlfn.NORM.DIST('DATA SIAP'!L142,$E$2,$E$3, FALSE)</f>
        <v>1.1186868618078116E-2</v>
      </c>
      <c r="L143" s="7">
        <f>_xlfn.NORM.DIST('DATA SIAP'!I142,$B$5,$B$6, FALSE)</f>
        <v>5.7976390272245056E-2</v>
      </c>
      <c r="M143" s="7">
        <f>_xlfn.NORM.DIST('DATA SIAP'!J142,$C$5,$C$6, FALSE)</f>
        <v>9.5906469505890934E-2</v>
      </c>
      <c r="N143" s="7">
        <f>_xlfn.NORM.DIST('DATA SIAP'!K142,$D$5,$D$6, FALSE)</f>
        <v>0.17758313678314452</v>
      </c>
      <c r="O143" s="7">
        <f>_xlfn.NORM.DIST('DATA SIAP'!L142,$E$5,$E$6, FALSE)</f>
        <v>1.3511173298930475E-2</v>
      </c>
      <c r="T143" s="7">
        <f t="shared" si="7"/>
        <v>2.6866534307299546E-5</v>
      </c>
      <c r="U143" s="7">
        <f t="shared" si="8"/>
        <v>6.1068728198108084E-6</v>
      </c>
      <c r="W143" s="7" t="str">
        <f t="shared" si="9"/>
        <v>SEHAT</v>
      </c>
    </row>
    <row r="144" spans="7:23" x14ac:dyDescent="0.25">
      <c r="G144" s="7">
        <f>_xlfn.NORM.DIST('DATA SIAP'!I143,$B$2,$B$3, FALSE)</f>
        <v>1.4533849635820748E-2</v>
      </c>
      <c r="H144" s="7">
        <f>_xlfn.NORM.DIST('DATA SIAP'!J143,$C$2,$C$3, FALSE)</f>
        <v>3.8583323370972103E-2</v>
      </c>
      <c r="I144" s="7">
        <f>_xlfn.NORM.DIST('DATA SIAP'!K143,$D$2,$D$3, FALSE)</f>
        <v>0.16303965166659332</v>
      </c>
      <c r="J144" s="7">
        <f>_xlfn.NORM.DIST('DATA SIAP'!L143,$E$2,$E$3, FALSE)</f>
        <v>1.0989513004024004E-2</v>
      </c>
      <c r="L144" s="7">
        <f>_xlfn.NORM.DIST('DATA SIAP'!I143,$B$5,$B$6, FALSE)</f>
        <v>0.32292367051886689</v>
      </c>
      <c r="M144" s="7">
        <f>_xlfn.NORM.DIST('DATA SIAP'!J143,$C$5,$C$6, FALSE)</f>
        <v>4.0674463420730174E-2</v>
      </c>
      <c r="N144" s="7">
        <f>_xlfn.NORM.DIST('DATA SIAP'!K143,$D$5,$D$6, FALSE)</f>
        <v>0.19394963457395645</v>
      </c>
      <c r="O144" s="7">
        <f>_xlfn.NORM.DIST('DATA SIAP'!L143,$E$5,$E$6, FALSE)</f>
        <v>1.3309109746317707E-2</v>
      </c>
      <c r="T144" s="7">
        <f t="shared" si="7"/>
        <v>5.4482165664202318E-7</v>
      </c>
      <c r="U144" s="7">
        <f t="shared" si="8"/>
        <v>1.5519749131929983E-5</v>
      </c>
      <c r="W144" s="7" t="str">
        <f t="shared" si="9"/>
        <v>ANEMIA</v>
      </c>
    </row>
    <row r="145" spans="7:23" x14ac:dyDescent="0.25">
      <c r="G145" s="7">
        <f>_xlfn.NORM.DIST('DATA SIAP'!I144,$B$2,$B$3, FALSE)</f>
        <v>0.20874557925923554</v>
      </c>
      <c r="H145" s="7">
        <f>_xlfn.NORM.DIST('DATA SIAP'!J144,$C$2,$C$3, FALSE)</f>
        <v>4.5946974275676865E-2</v>
      </c>
      <c r="I145" s="7">
        <f>_xlfn.NORM.DIST('DATA SIAP'!K144,$D$2,$D$3, FALSE)</f>
        <v>0.2229162921895402</v>
      </c>
      <c r="J145" s="7">
        <f>_xlfn.NORM.DIST('DATA SIAP'!L144,$E$2,$E$3, FALSE)</f>
        <v>4.0289888752805127E-2</v>
      </c>
      <c r="L145" s="7">
        <f>_xlfn.NORM.DIST('DATA SIAP'!I144,$B$5,$B$6, FALSE)</f>
        <v>5.7976390272245056E-2</v>
      </c>
      <c r="M145" s="7">
        <f>_xlfn.NORM.DIST('DATA SIAP'!J144,$C$5,$C$6, FALSE)</f>
        <v>4.7375442874265865E-2</v>
      </c>
      <c r="N145" s="7">
        <f>_xlfn.NORM.DIST('DATA SIAP'!K144,$D$5,$D$6, FALSE)</f>
        <v>0.25345247760741169</v>
      </c>
      <c r="O145" s="7">
        <f>_xlfn.NORM.DIST('DATA SIAP'!L144,$E$5,$E$6, FALSE)</f>
        <v>3.7266211728178282E-2</v>
      </c>
      <c r="T145" s="7">
        <f t="shared" si="7"/>
        <v>4.671049439081593E-5</v>
      </c>
      <c r="U145" s="7">
        <f t="shared" si="8"/>
        <v>1.1875208813782987E-5</v>
      </c>
      <c r="W145" s="7" t="str">
        <f t="shared" si="9"/>
        <v>ANEMIA</v>
      </c>
    </row>
    <row r="146" spans="7:23" x14ac:dyDescent="0.25">
      <c r="G146" s="7">
        <f>_xlfn.NORM.DIST('DATA SIAP'!I145,$B$2,$B$3, FALSE)</f>
        <v>0.12657029558409025</v>
      </c>
      <c r="H146" s="7">
        <f>_xlfn.NORM.DIST('DATA SIAP'!J145,$C$2,$C$3, FALSE)</f>
        <v>7.8005419042962487E-2</v>
      </c>
      <c r="I146" s="7">
        <f>_xlfn.NORM.DIST('DATA SIAP'!K145,$D$2,$D$3, FALSE)</f>
        <v>0.2720499982540398</v>
      </c>
      <c r="J146" s="7">
        <f>_xlfn.NORM.DIST('DATA SIAP'!L145,$E$2,$E$3, FALSE)</f>
        <v>3.9441873796276443E-2</v>
      </c>
      <c r="L146" s="7">
        <f>_xlfn.NORM.DIST('DATA SIAP'!I145,$B$5,$B$6, FALSE)</f>
        <v>0.12793745743646967</v>
      </c>
      <c r="M146" s="7">
        <f>_xlfn.NORM.DIST('DATA SIAP'!J145,$C$5,$C$6, FALSE)</f>
        <v>7.5249151950046486E-2</v>
      </c>
      <c r="N146" s="7">
        <f>_xlfn.NORM.DIST('DATA SIAP'!K145,$D$5,$D$6, FALSE)</f>
        <v>0.26075489413603392</v>
      </c>
      <c r="O146" s="7">
        <f>_xlfn.NORM.DIST('DATA SIAP'!L145,$E$5,$E$6, FALSE)</f>
        <v>3.6461773068490452E-2</v>
      </c>
      <c r="T146" s="7">
        <f t="shared" si="7"/>
        <v>5.744671719912041E-5</v>
      </c>
      <c r="U146" s="7">
        <f t="shared" si="8"/>
        <v>4.1898125170929351E-5</v>
      </c>
      <c r="W146" s="7" t="str">
        <f t="shared" si="9"/>
        <v>SEHAT</v>
      </c>
    </row>
    <row r="147" spans="7:23" x14ac:dyDescent="0.25">
      <c r="G147" s="7">
        <f>_xlfn.NORM.DIST('DATA SIAP'!I146,$B$2,$B$3, FALSE)</f>
        <v>5.2858549075253704E-3</v>
      </c>
      <c r="H147" s="7">
        <f>_xlfn.NORM.DIST('DATA SIAP'!J146,$C$2,$C$3, FALSE)</f>
        <v>0.10158123730157224</v>
      </c>
      <c r="I147" s="7">
        <f>_xlfn.NORM.DIST('DATA SIAP'!K146,$D$2,$D$3, FALSE)</f>
        <v>0.24936908005607247</v>
      </c>
      <c r="J147" s="7">
        <f>_xlfn.NORM.DIST('DATA SIAP'!L146,$E$2,$E$3, FALSE)</f>
        <v>2.0739580011795256E-2</v>
      </c>
      <c r="L147" s="7">
        <f>_xlfn.NORM.DIST('DATA SIAP'!I146,$B$5,$B$6, FALSE)</f>
        <v>0.31475359474046671</v>
      </c>
      <c r="M147" s="7">
        <f>_xlfn.NORM.DIST('DATA SIAP'!J146,$C$5,$C$6, FALSE)</f>
        <v>9.4913533433279296E-2</v>
      </c>
      <c r="N147" s="7">
        <f>_xlfn.NORM.DIST('DATA SIAP'!K146,$D$5,$D$6, FALSE)</f>
        <v>0.22848406731540458</v>
      </c>
      <c r="O147" s="7">
        <f>_xlfn.NORM.DIST('DATA SIAP'!L146,$E$5,$E$6, FALSE)</f>
        <v>1.9785075518080755E-2</v>
      </c>
      <c r="T147" s="7">
        <f t="shared" si="7"/>
        <v>1.5058221380701037E-6</v>
      </c>
      <c r="U147" s="7">
        <f t="shared" si="8"/>
        <v>6.181836096101719E-5</v>
      </c>
      <c r="W147" s="7" t="str">
        <f t="shared" si="9"/>
        <v>ANEMIA</v>
      </c>
    </row>
    <row r="148" spans="7:23" x14ac:dyDescent="0.25">
      <c r="G148" s="7">
        <f>_xlfn.NORM.DIST('DATA SIAP'!I147,$B$2,$B$3, FALSE)</f>
        <v>0.28556630759985968</v>
      </c>
      <c r="H148" s="7">
        <f>_xlfn.NORM.DIST('DATA SIAP'!J147,$C$2,$C$3, FALSE)</f>
        <v>4.7483818773789224E-2</v>
      </c>
      <c r="I148" s="7">
        <f>_xlfn.NORM.DIST('DATA SIAP'!K147,$D$2,$D$3, FALSE)</f>
        <v>0.18761229391009854</v>
      </c>
      <c r="J148" s="7">
        <f>_xlfn.NORM.DIST('DATA SIAP'!L147,$E$2,$E$3, FALSE)</f>
        <v>4.1780199272262432E-2</v>
      </c>
      <c r="L148" s="7">
        <f>_xlfn.NORM.DIST('DATA SIAP'!I147,$B$5,$B$6, FALSE)</f>
        <v>2.1658038923362813E-3</v>
      </c>
      <c r="M148" s="7">
        <f>_xlfn.NORM.DIST('DATA SIAP'!J147,$C$5,$C$6, FALSE)</f>
        <v>4.875642378770937E-2</v>
      </c>
      <c r="N148" s="7">
        <f>_xlfn.NORM.DIST('DATA SIAP'!K147,$D$5,$D$6, FALSE)</f>
        <v>0.21939825426614995</v>
      </c>
      <c r="O148" s="7">
        <f>_xlfn.NORM.DIST('DATA SIAP'!L147,$E$5,$E$6, FALSE)</f>
        <v>3.9852468442435292E-2</v>
      </c>
      <c r="T148" s="7">
        <f t="shared" si="7"/>
        <v>5.7635064864511013E-5</v>
      </c>
      <c r="U148" s="7">
        <f t="shared" si="8"/>
        <v>4.226339487839976E-7</v>
      </c>
      <c r="W148" s="7" t="str">
        <f t="shared" si="9"/>
        <v>ANEMIA</v>
      </c>
    </row>
    <row r="149" spans="7:23" x14ac:dyDescent="0.25">
      <c r="G149" s="7">
        <f>_xlfn.NORM.DIST('DATA SIAP'!I148,$B$2,$B$3, FALSE)</f>
        <v>0.2322678986365366</v>
      </c>
      <c r="H149" s="7">
        <f>_xlfn.NORM.DIST('DATA SIAP'!J148,$C$2,$C$3, FALSE)</f>
        <v>3.4624801075578519E-2</v>
      </c>
      <c r="I149" s="7">
        <f>_xlfn.NORM.DIST('DATA SIAP'!K148,$D$2,$D$3, FALSE)</f>
        <v>0.2229162921895402</v>
      </c>
      <c r="J149" s="7">
        <f>_xlfn.NORM.DIST('DATA SIAP'!L148,$E$2,$E$3, FALSE)</f>
        <v>2.1831801540822284E-2</v>
      </c>
      <c r="L149" s="7">
        <f>_xlfn.NORM.DIST('DATA SIAP'!I148,$B$5,$B$6, FALSE)</f>
        <v>5.4583668235364761E-4</v>
      </c>
      <c r="M149" s="7">
        <f>_xlfn.NORM.DIST('DATA SIAP'!J148,$C$5,$C$6, FALSE)</f>
        <v>3.7509570854176257E-2</v>
      </c>
      <c r="N149" s="7">
        <f>_xlfn.NORM.DIST('DATA SIAP'!K148,$D$5,$D$6, FALSE)</f>
        <v>0.25345247760741169</v>
      </c>
      <c r="O149" s="7">
        <f>_xlfn.NORM.DIST('DATA SIAP'!L148,$E$5,$E$6, FALSE)</f>
        <v>2.0751422517950147E-2</v>
      </c>
      <c r="T149" s="7">
        <f t="shared" si="7"/>
        <v>2.122316957478088E-5</v>
      </c>
      <c r="U149" s="7">
        <f t="shared" si="8"/>
        <v>4.9291750370359904E-8</v>
      </c>
      <c r="W149" s="7" t="str">
        <f t="shared" si="9"/>
        <v>ANEMIA</v>
      </c>
    </row>
    <row r="150" spans="7:23" x14ac:dyDescent="0.25">
      <c r="G150" s="7">
        <f>_xlfn.NORM.DIST('DATA SIAP'!I149,$B$2,$B$3, FALSE)</f>
        <v>0.27720518307710384</v>
      </c>
      <c r="H150" s="7">
        <f>_xlfn.NORM.DIST('DATA SIAP'!J149,$C$2,$C$3, FALSE)</f>
        <v>5.3797001958017156E-2</v>
      </c>
      <c r="I150" s="7">
        <f>_xlfn.NORM.DIST('DATA SIAP'!K149,$D$2,$D$3, FALSE)</f>
        <v>0.17534041784492749</v>
      </c>
      <c r="J150" s="7">
        <f>_xlfn.NORM.DIST('DATA SIAP'!L149,$E$2,$E$3, FALSE)</f>
        <v>1.4638548782901962E-2</v>
      </c>
      <c r="L150" s="7">
        <f>_xlfn.NORM.DIST('DATA SIAP'!I149,$B$5,$B$6, FALSE)</f>
        <v>1.666151072771268E-3</v>
      </c>
      <c r="M150" s="7">
        <f>_xlfn.NORM.DIST('DATA SIAP'!J149,$C$5,$C$6, FALSE)</f>
        <v>5.43734620098731E-2</v>
      </c>
      <c r="N150" s="7">
        <f>_xlfn.NORM.DIST('DATA SIAP'!K149,$D$5,$D$6, FALSE)</f>
        <v>0.20684161907798584</v>
      </c>
      <c r="O150" s="7">
        <f>_xlfn.NORM.DIST('DATA SIAP'!L149,$E$5,$E$6, FALSE)</f>
        <v>1.695606571177417E-2</v>
      </c>
      <c r="T150" s="7">
        <f t="shared" si="7"/>
        <v>2.0755913983211191E-5</v>
      </c>
      <c r="U150" s="7">
        <f t="shared" si="8"/>
        <v>1.4544185156139626E-7</v>
      </c>
      <c r="W150" s="7" t="str">
        <f t="shared" si="9"/>
        <v>ANEMIA</v>
      </c>
    </row>
    <row r="151" spans="7:23" x14ac:dyDescent="0.25">
      <c r="G151" s="7">
        <f>_xlfn.NORM.DIST('DATA SIAP'!I150,$B$2,$B$3, FALSE)</f>
        <v>0.29889263344341388</v>
      </c>
      <c r="H151" s="7">
        <f>_xlfn.NORM.DIST('DATA SIAP'!J150,$C$2,$C$3, FALSE)</f>
        <v>0.10369262057512099</v>
      </c>
      <c r="I151" s="7">
        <f>_xlfn.NORM.DIST('DATA SIAP'!K150,$D$2,$D$3, FALSE)</f>
        <v>0.10074504551950023</v>
      </c>
      <c r="J151" s="7">
        <f>_xlfn.NORM.DIST('DATA SIAP'!L150,$E$2,$E$3, FALSE)</f>
        <v>2.9676588306999686E-2</v>
      </c>
      <c r="L151" s="7">
        <f>_xlfn.NORM.DIST('DATA SIAP'!I150,$B$5,$B$6, FALSE)</f>
        <v>1.1263179024492209E-2</v>
      </c>
      <c r="M151" s="7">
        <f>_xlfn.NORM.DIST('DATA SIAP'!J150,$C$5,$C$6, FALSE)</f>
        <v>9.669566850487403E-2</v>
      </c>
      <c r="N151" s="7">
        <f>_xlfn.NORM.DIST('DATA SIAP'!K150,$D$5,$D$6, FALSE)</f>
        <v>7.3356217047997774E-2</v>
      </c>
      <c r="O151" s="7">
        <f>_xlfn.NORM.DIST('DATA SIAP'!L150,$E$5,$E$6, FALSE)</f>
        <v>2.7670317205177094E-2</v>
      </c>
      <c r="T151" s="7">
        <f t="shared" si="7"/>
        <v>5.0246187189781911E-5</v>
      </c>
      <c r="U151" s="7">
        <f t="shared" si="8"/>
        <v>1.0119151179277962E-6</v>
      </c>
      <c r="W151" s="7" t="str">
        <f t="shared" si="9"/>
        <v>ANEMIA</v>
      </c>
    </row>
    <row r="152" spans="7:23" x14ac:dyDescent="0.25">
      <c r="G152" s="7">
        <f>_xlfn.NORM.DIST('DATA SIAP'!I151,$B$2,$B$3, FALSE)</f>
        <v>0.14969315057709329</v>
      </c>
      <c r="H152" s="7">
        <f>_xlfn.NORM.DIST('DATA SIAP'!J151,$C$2,$C$3, FALSE)</f>
        <v>9.6280187164627704E-2</v>
      </c>
      <c r="I152" s="7">
        <f>_xlfn.NORM.DIST('DATA SIAP'!K151,$D$2,$D$3, FALSE)</f>
        <v>0.26838104088565923</v>
      </c>
      <c r="J152" s="7">
        <f>_xlfn.NORM.DIST('DATA SIAP'!L151,$E$2,$E$3, FALSE)</f>
        <v>2.8540947525619059E-2</v>
      </c>
      <c r="L152" s="7">
        <f>_xlfn.NORM.DIST('DATA SIAP'!I151,$B$5,$B$6, FALSE)</f>
        <v>8.3750476964686594E-5</v>
      </c>
      <c r="M152" s="7">
        <f>_xlfn.NORM.DIST('DATA SIAP'!J151,$C$5,$C$6, FALSE)</f>
        <v>9.0837838415519276E-2</v>
      </c>
      <c r="N152" s="7">
        <f>_xlfn.NORM.DIST('DATA SIAP'!K151,$D$5,$D$6, FALSE)</f>
        <v>0.28924177494405268</v>
      </c>
      <c r="O152" s="7">
        <f>_xlfn.NORM.DIST('DATA SIAP'!L151,$E$5,$E$6, FALSE)</f>
        <v>2.9575454081846305E-2</v>
      </c>
      <c r="T152" s="7">
        <f t="shared" si="7"/>
        <v>5.9863410517152504E-5</v>
      </c>
      <c r="U152" s="7">
        <f t="shared" si="8"/>
        <v>2.9790070543361647E-8</v>
      </c>
      <c r="W152" s="7" t="str">
        <f t="shared" si="9"/>
        <v>SEHAT</v>
      </c>
    </row>
    <row r="153" spans="7:23" x14ac:dyDescent="0.25">
      <c r="G153" s="7">
        <f>_xlfn.NORM.DIST('DATA SIAP'!I152,$B$2,$B$3, FALSE)</f>
        <v>5.4227430483013976E-2</v>
      </c>
      <c r="H153" s="7">
        <f>_xlfn.NORM.DIST('DATA SIAP'!J152,$C$2,$C$3, FALSE)</f>
        <v>6.1930288321728387E-2</v>
      </c>
      <c r="I153" s="7">
        <f>_xlfn.NORM.DIST('DATA SIAP'!K152,$D$2,$D$3, FALSE)</f>
        <v>0.12713630690141631</v>
      </c>
      <c r="J153" s="7">
        <f>_xlfn.NORM.DIST('DATA SIAP'!L152,$E$2,$E$3, FALSE)</f>
        <v>1.8331835798859955E-2</v>
      </c>
      <c r="L153" s="7">
        <f>_xlfn.NORM.DIST('DATA SIAP'!I152,$B$5,$B$6, FALSE)</f>
        <v>0.23764944520286474</v>
      </c>
      <c r="M153" s="7">
        <f>_xlfn.NORM.DIST('DATA SIAP'!J152,$C$5,$C$6, FALSE)</f>
        <v>6.1492612070584686E-2</v>
      </c>
      <c r="N153" s="7">
        <f>_xlfn.NORM.DIST('DATA SIAP'!K152,$D$5,$D$6, FALSE)</f>
        <v>0.1547817431068946</v>
      </c>
      <c r="O153" s="7">
        <f>_xlfn.NORM.DIST('DATA SIAP'!L152,$E$5,$E$6, FALSE)</f>
        <v>2.0483804805992913E-2</v>
      </c>
      <c r="T153" s="7">
        <f t="shared" si="7"/>
        <v>4.2442412234936873E-6</v>
      </c>
      <c r="U153" s="7">
        <f t="shared" si="8"/>
        <v>2.1208752316732749E-5</v>
      </c>
      <c r="W153" s="7" t="str">
        <f t="shared" si="9"/>
        <v>SEHAT</v>
      </c>
    </row>
    <row r="154" spans="7:23" x14ac:dyDescent="0.25">
      <c r="G154" s="7">
        <f>_xlfn.NORM.DIST('DATA SIAP'!I153,$B$2,$B$3, FALSE)</f>
        <v>8.0741245945897683E-2</v>
      </c>
      <c r="H154" s="7">
        <f>_xlfn.NORM.DIST('DATA SIAP'!J153,$C$2,$C$3, FALSE)</f>
        <v>2.9513231882103121E-2</v>
      </c>
      <c r="I154" s="7">
        <f>_xlfn.NORM.DIST('DATA SIAP'!K153,$D$2,$D$3, FALSE)</f>
        <v>0.16303965166659332</v>
      </c>
      <c r="J154" s="7">
        <f>_xlfn.NORM.DIST('DATA SIAP'!L153,$E$2,$E$3, FALSE)</f>
        <v>3.183647496253382E-2</v>
      </c>
      <c r="L154" s="7">
        <f>_xlfn.NORM.DIST('DATA SIAP'!I153,$B$5,$B$6, FALSE)</f>
        <v>0.18971286532748305</v>
      </c>
      <c r="M154" s="7">
        <f>_xlfn.NORM.DIST('DATA SIAP'!J153,$C$5,$C$6, FALSE)</f>
        <v>3.2659917273619755E-2</v>
      </c>
      <c r="N154" s="7">
        <f>_xlfn.NORM.DIST('DATA SIAP'!K153,$D$5,$D$6, FALSE)</f>
        <v>0.19394963457395645</v>
      </c>
      <c r="O154" s="7">
        <f>_xlfn.NORM.DIST('DATA SIAP'!L153,$E$5,$E$6, FALSE)</f>
        <v>3.2325087137823998E-2</v>
      </c>
      <c r="T154" s="7">
        <f t="shared" si="7"/>
        <v>6.707069579248303E-6</v>
      </c>
      <c r="U154" s="7">
        <f t="shared" si="8"/>
        <v>1.778138338925665E-5</v>
      </c>
      <c r="W154" s="7" t="str">
        <f t="shared" si="9"/>
        <v>SEHAT</v>
      </c>
    </row>
    <row r="155" spans="7:23" x14ac:dyDescent="0.25">
      <c r="G155" s="7">
        <f>_xlfn.NORM.DIST('DATA SIAP'!I154,$B$2,$B$3, FALSE)</f>
        <v>3.386696622565662E-3</v>
      </c>
      <c r="H155" s="7">
        <f>_xlfn.NORM.DIST('DATA SIAP'!J154,$C$2,$C$3, FALSE)</f>
        <v>2.4885039310168271E-2</v>
      </c>
      <c r="I155" s="7">
        <f>_xlfn.NORM.DIST('DATA SIAP'!K154,$D$2,$D$3, FALSE)</f>
        <v>0.2229162921895402</v>
      </c>
      <c r="J155" s="7">
        <f>_xlfn.NORM.DIST('DATA SIAP'!L154,$E$2,$E$3, FALSE)</f>
        <v>3.5183122477146354E-2</v>
      </c>
      <c r="L155" s="7">
        <f>_xlfn.NORM.DIST('DATA SIAP'!I154,$B$5,$B$6, FALSE)</f>
        <v>0.29730086523127114</v>
      </c>
      <c r="M155" s="7">
        <f>_xlfn.NORM.DIST('DATA SIAP'!J154,$C$5,$C$6, FALSE)</f>
        <v>2.817043198973462E-2</v>
      </c>
      <c r="N155" s="7">
        <f>_xlfn.NORM.DIST('DATA SIAP'!K154,$D$5,$D$6, FALSE)</f>
        <v>0.25345247760741169</v>
      </c>
      <c r="O155" s="7">
        <f>_xlfn.NORM.DIST('DATA SIAP'!L154,$E$5,$E$6, FALSE)</f>
        <v>3.2566006368925211E-2</v>
      </c>
      <c r="T155" s="7">
        <f t="shared" si="7"/>
        <v>3.5842079390396391E-7</v>
      </c>
      <c r="U155" s="7">
        <f t="shared" si="8"/>
        <v>3.1642860508905213E-5</v>
      </c>
      <c r="W155" s="7" t="str">
        <f t="shared" si="9"/>
        <v>SEHAT</v>
      </c>
    </row>
    <row r="156" spans="7:23" x14ac:dyDescent="0.25">
      <c r="G156" s="7">
        <f>_xlfn.NORM.DIST('DATA SIAP'!I155,$B$2,$B$3, FALSE)</f>
        <v>1.2010622387859344E-2</v>
      </c>
      <c r="H156" s="7">
        <f>_xlfn.NORM.DIST('DATA SIAP'!J155,$C$2,$C$3, FALSE)</f>
        <v>9.6161656224035566E-2</v>
      </c>
      <c r="I156" s="7">
        <f>_xlfn.NORM.DIST('DATA SIAP'!K155,$D$2,$D$3, FALSE)</f>
        <v>0.17033125385914347</v>
      </c>
      <c r="J156" s="7">
        <f>_xlfn.NORM.DIST('DATA SIAP'!L155,$E$2,$E$3, FALSE)</f>
        <v>1.6578044489532259E-2</v>
      </c>
      <c r="L156" s="7">
        <f>_xlfn.NORM.DIST('DATA SIAP'!I155,$B$5,$B$6, FALSE)</f>
        <v>0.3255971339791599</v>
      </c>
      <c r="M156" s="7">
        <f>_xlfn.NORM.DIST('DATA SIAP'!J155,$C$5,$C$6, FALSE)</f>
        <v>9.0418829930510661E-2</v>
      </c>
      <c r="N156" s="7">
        <f>_xlfn.NORM.DIST('DATA SIAP'!K155,$D$5,$D$6, FALSE)</f>
        <v>0.13886633480617</v>
      </c>
      <c r="O156" s="7">
        <f>_xlfn.NORM.DIST('DATA SIAP'!L155,$E$5,$E$6, FALSE)</f>
        <v>1.6082459839699755E-2</v>
      </c>
      <c r="T156" s="7">
        <f t="shared" si="7"/>
        <v>1.768469087106109E-6</v>
      </c>
      <c r="U156" s="7">
        <f t="shared" si="8"/>
        <v>3.0096356113624088E-5</v>
      </c>
      <c r="W156" s="7" t="str">
        <f t="shared" si="9"/>
        <v>SEHAT</v>
      </c>
    </row>
    <row r="157" spans="7:23" x14ac:dyDescent="0.25">
      <c r="G157" s="7">
        <f>_xlfn.NORM.DIST('DATA SIAP'!I156,$B$2,$B$3, FALSE)</f>
        <v>9.1134535664730731E-2</v>
      </c>
      <c r="H157" s="7">
        <f>_xlfn.NORM.DIST('DATA SIAP'!J156,$C$2,$C$3, FALSE)</f>
        <v>4.2933543956443887E-2</v>
      </c>
      <c r="I157" s="7">
        <f>_xlfn.NORM.DIST('DATA SIAP'!K156,$D$2,$D$3, FALSE)</f>
        <v>0.21834869514136626</v>
      </c>
      <c r="J157" s="7">
        <f>_xlfn.NORM.DIST('DATA SIAP'!L156,$E$2,$E$3, FALSE)</f>
        <v>3.3924121271698832E-2</v>
      </c>
      <c r="L157" s="7">
        <f>_xlfn.NORM.DIST('DATA SIAP'!I156,$B$5,$B$6, FALSE)</f>
        <v>0.17365085003564773</v>
      </c>
      <c r="M157" s="7">
        <f>_xlfn.NORM.DIST('DATA SIAP'!J156,$C$5,$C$6, FALSE)</f>
        <v>4.4650716507474403E-2</v>
      </c>
      <c r="N157" s="7">
        <f>_xlfn.NORM.DIST('DATA SIAP'!K156,$D$5,$D$6, FALSE)</f>
        <v>0.19067592347995771</v>
      </c>
      <c r="O157" s="7">
        <f>_xlfn.NORM.DIST('DATA SIAP'!L156,$E$5,$E$6, FALSE)</f>
        <v>3.4017803094167014E-2</v>
      </c>
      <c r="T157" s="7">
        <f t="shared" si="7"/>
        <v>1.5715974402641654E-5</v>
      </c>
      <c r="U157" s="7">
        <f t="shared" si="8"/>
        <v>2.3021439691915661E-5</v>
      </c>
      <c r="W157" s="7" t="str">
        <f t="shared" si="9"/>
        <v>ANEMIA</v>
      </c>
    </row>
    <row r="158" spans="7:23" x14ac:dyDescent="0.25">
      <c r="G158" s="7">
        <f>_xlfn.NORM.DIST('DATA SIAP'!I157,$B$2,$B$3, FALSE)</f>
        <v>0.19139514372715244</v>
      </c>
      <c r="H158" s="7">
        <f>_xlfn.NORM.DIST('DATA SIAP'!J157,$C$2,$C$3, FALSE)</f>
        <v>9.8011371005654324E-2</v>
      </c>
      <c r="I158" s="7">
        <f>_xlfn.NORM.DIST('DATA SIAP'!K157,$D$2,$D$3, FALSE)</f>
        <v>0.18263025300630079</v>
      </c>
      <c r="J158" s="7">
        <f>_xlfn.NORM.DIST('DATA SIAP'!L157,$E$2,$E$3, FALSE)</f>
        <v>2.3217282332995162E-2</v>
      </c>
      <c r="L158" s="7">
        <f>_xlfn.NORM.DIST('DATA SIAP'!I157,$B$5,$B$6, FALSE)</f>
        <v>2.2033814817541678E-4</v>
      </c>
      <c r="M158" s="7">
        <f>_xlfn.NORM.DIST('DATA SIAP'!J157,$C$5,$C$6, FALSE)</f>
        <v>9.1951373432140798E-2</v>
      </c>
      <c r="N158" s="7">
        <f>_xlfn.NORM.DIST('DATA SIAP'!K157,$D$5,$D$6, FALSE)</f>
        <v>0.15154872267578176</v>
      </c>
      <c r="O158" s="7">
        <f>_xlfn.NORM.DIST('DATA SIAP'!L157,$E$5,$E$6, FALSE)</f>
        <v>2.197510028817886E-2</v>
      </c>
      <c r="T158" s="7">
        <f t="shared" si="7"/>
        <v>4.3131430542649469E-5</v>
      </c>
      <c r="U158" s="7">
        <f t="shared" si="8"/>
        <v>3.0885602223135512E-8</v>
      </c>
      <c r="W158" s="7" t="str">
        <f t="shared" si="9"/>
        <v>ANEMIA</v>
      </c>
    </row>
    <row r="159" spans="7:23" x14ac:dyDescent="0.25">
      <c r="G159" s="7">
        <f>_xlfn.NORM.DIST('DATA SIAP'!I158,$B$2,$B$3, FALSE)</f>
        <v>0.12657029558409025</v>
      </c>
      <c r="H159" s="7">
        <f>_xlfn.NORM.DIST('DATA SIAP'!J158,$C$2,$C$3, FALSE)</f>
        <v>9.8011371005654324E-2</v>
      </c>
      <c r="I159" s="7">
        <f>_xlfn.NORM.DIST('DATA SIAP'!K158,$D$2,$D$3, FALSE)</f>
        <v>0.22939862492988175</v>
      </c>
      <c r="J159" s="7">
        <f>_xlfn.NORM.DIST('DATA SIAP'!L158,$E$2,$E$3, FALSE)</f>
        <v>3.9619281681987951E-2</v>
      </c>
      <c r="L159" s="7">
        <f>_xlfn.NORM.DIST('DATA SIAP'!I158,$B$5,$B$6, FALSE)</f>
        <v>0.12793745743646967</v>
      </c>
      <c r="M159" s="7">
        <f>_xlfn.NORM.DIST('DATA SIAP'!J158,$C$5,$C$6, FALSE)</f>
        <v>9.1951373432140798E-2</v>
      </c>
      <c r="N159" s="7">
        <f>_xlfn.NORM.DIST('DATA SIAP'!K158,$D$5,$D$6, FALSE)</f>
        <v>0.20362742527633393</v>
      </c>
      <c r="O159" s="7">
        <f>_xlfn.NORM.DIST('DATA SIAP'!L158,$E$5,$E$6, FALSE)</f>
        <v>3.6628790968586032E-2</v>
      </c>
      <c r="T159" s="7">
        <f t="shared" si="7"/>
        <v>6.1137552246180542E-5</v>
      </c>
      <c r="U159" s="7">
        <f t="shared" si="8"/>
        <v>4.0164262983550644E-5</v>
      </c>
      <c r="W159" s="7" t="str">
        <f t="shared" si="9"/>
        <v>ANEMIA</v>
      </c>
    </row>
    <row r="160" spans="7:23" x14ac:dyDescent="0.25">
      <c r="G160" s="7">
        <f>_xlfn.NORM.DIST('DATA SIAP'!I159,$B$2,$B$3, FALSE)</f>
        <v>0.2354474783467411</v>
      </c>
      <c r="H160" s="7">
        <f>_xlfn.NORM.DIST('DATA SIAP'!J159,$C$2,$C$3, FALSE)</f>
        <v>2.1741521241102062E-2</v>
      </c>
      <c r="I160" s="7">
        <f>_xlfn.NORM.DIST('DATA SIAP'!K159,$D$2,$D$3, FALSE)</f>
        <v>0.13402998203293126</v>
      </c>
      <c r="J160" s="7">
        <f>_xlfn.NORM.DIST('DATA SIAP'!L159,$E$2,$E$3, FALSE)</f>
        <v>1.1386439733075506E-2</v>
      </c>
      <c r="L160" s="7">
        <f>_xlfn.NORM.DIST('DATA SIAP'!I159,$B$5,$B$6, FALSE)</f>
        <v>4.2212674869411319E-2</v>
      </c>
      <c r="M160" s="7">
        <f>_xlfn.NORM.DIST('DATA SIAP'!J159,$C$5,$C$6, FALSE)</f>
        <v>2.5057646193874638E-2</v>
      </c>
      <c r="N160" s="7">
        <f>_xlfn.NORM.DIST('DATA SIAP'!K159,$D$5,$D$6, FALSE)</f>
        <v>0.10342099402218156</v>
      </c>
      <c r="O160" s="7">
        <f>_xlfn.NORM.DIST('DATA SIAP'!L159,$E$5,$E$6, FALSE)</f>
        <v>1.3714894427256595E-2</v>
      </c>
      <c r="T160" s="7">
        <f t="shared" si="7"/>
        <v>4.2361981245275505E-6</v>
      </c>
      <c r="U160" s="7">
        <f t="shared" si="8"/>
        <v>6.8676686682291433E-7</v>
      </c>
      <c r="W160" s="7" t="str">
        <f t="shared" si="9"/>
        <v>ANEMIA</v>
      </c>
    </row>
    <row r="161" spans="7:23" x14ac:dyDescent="0.25">
      <c r="G161" s="7">
        <f>_xlfn.NORM.DIST('DATA SIAP'!I160,$B$2,$B$3, FALSE)</f>
        <v>0.2354474783467411</v>
      </c>
      <c r="H161" s="7">
        <f>_xlfn.NORM.DIST('DATA SIAP'!J160,$C$2,$C$3, FALSE)</f>
        <v>7.6647270249064217E-2</v>
      </c>
      <c r="I161" s="7">
        <f>_xlfn.NORM.DIST('DATA SIAP'!K160,$D$2,$D$3, FALSE)</f>
        <v>0.19972434609323236</v>
      </c>
      <c r="J161" s="7">
        <f>_xlfn.NORM.DIST('DATA SIAP'!L160,$E$2,$E$3, FALSE)</f>
        <v>1.2417234425301847E-2</v>
      </c>
      <c r="L161" s="7">
        <f>_xlfn.NORM.DIST('DATA SIAP'!I160,$B$5,$B$6, FALSE)</f>
        <v>4.2212674869411319E-2</v>
      </c>
      <c r="M161" s="7">
        <f>_xlfn.NORM.DIST('DATA SIAP'!J160,$C$5,$C$6, FALSE)</f>
        <v>7.4627888572517412E-2</v>
      </c>
      <c r="N161" s="7">
        <f>_xlfn.NORM.DIST('DATA SIAP'!K160,$D$5,$D$6, FALSE)</f>
        <v>0.23145932521706172</v>
      </c>
      <c r="O161" s="7">
        <f>_xlfn.NORM.DIST('DATA SIAP'!L160,$E$5,$E$6, FALSE)</f>
        <v>1.4757734253638343E-2</v>
      </c>
      <c r="T161" s="7">
        <f t="shared" si="7"/>
        <v>2.4268839235217777E-5</v>
      </c>
      <c r="U161" s="7">
        <f t="shared" si="8"/>
        <v>4.9256483964256786E-6</v>
      </c>
      <c r="W161" s="7" t="str">
        <f t="shared" si="9"/>
        <v>ANEMIA</v>
      </c>
    </row>
    <row r="162" spans="7:23" x14ac:dyDescent="0.25">
      <c r="G162" s="7">
        <f>_xlfn.NORM.DIST('DATA SIAP'!I161,$B$2,$B$3, FALSE)</f>
        <v>0.24488979130800856</v>
      </c>
      <c r="H162" s="7">
        <f>_xlfn.NORM.DIST('DATA SIAP'!J161,$C$2,$C$3, FALSE)</f>
        <v>4.1459616634851038E-2</v>
      </c>
      <c r="I162" s="7">
        <f>_xlfn.NORM.DIST('DATA SIAP'!K161,$D$2,$D$3, FALSE)</f>
        <v>0.12248570720321851</v>
      </c>
      <c r="J162" s="7">
        <f>_xlfn.NORM.DIST('DATA SIAP'!L161,$E$2,$E$3, FALSE)</f>
        <v>2.6853665805184383E-2</v>
      </c>
      <c r="L162" s="7">
        <f>_xlfn.NORM.DIST('DATA SIAP'!I161,$B$5,$B$6, FALSE)</f>
        <v>7.2875329317061859E-4</v>
      </c>
      <c r="M162" s="7">
        <f>_xlfn.NORM.DIST('DATA SIAP'!J161,$C$5,$C$6, FALSE)</f>
        <v>4.3309397521866216E-2</v>
      </c>
      <c r="N162" s="7">
        <f>_xlfn.NORM.DIST('DATA SIAP'!K161,$D$5,$D$6, FALSE)</f>
        <v>9.2733895700821981E-2</v>
      </c>
      <c r="O162" s="7">
        <f>_xlfn.NORM.DIST('DATA SIAP'!L161,$E$5,$E$6, FALSE)</f>
        <v>2.8132995675916386E-2</v>
      </c>
      <c r="T162" s="7">
        <f t="shared" si="7"/>
        <v>1.8108702657906161E-5</v>
      </c>
      <c r="U162" s="7">
        <f t="shared" si="8"/>
        <v>3.7691391310896348E-8</v>
      </c>
      <c r="W162" s="7" t="str">
        <f t="shared" si="9"/>
        <v>ANEMIA</v>
      </c>
    </row>
    <row r="163" spans="7:23" x14ac:dyDescent="0.25">
      <c r="G163" s="7">
        <f>_xlfn.NORM.DIST('DATA SIAP'!I162,$B$2,$B$3, FALSE)</f>
        <v>0.25670433563455602</v>
      </c>
      <c r="H163" s="7">
        <f>_xlfn.NORM.DIST('DATA SIAP'!J162,$C$2,$C$3, FALSE)</f>
        <v>6.8473529177472514E-2</v>
      </c>
      <c r="I163" s="7">
        <f>_xlfn.NORM.DIST('DATA SIAP'!K162,$D$2,$D$3, FALSE)</f>
        <v>0.24936908005607247</v>
      </c>
      <c r="J163" s="7">
        <f>_xlfn.NORM.DIST('DATA SIAP'!L162,$E$2,$E$3, FALSE)</f>
        <v>4.1674693423035453E-2</v>
      </c>
      <c r="L163" s="7">
        <f>_xlfn.NORM.DIST('DATA SIAP'!I162,$B$5,$B$6, FALSE)</f>
        <v>9.6648490919382037E-4</v>
      </c>
      <c r="M163" s="7">
        <f>_xlfn.NORM.DIST('DATA SIAP'!J162,$C$5,$C$6, FALSE)</f>
        <v>6.7137525063334508E-2</v>
      </c>
      <c r="N163" s="7">
        <f>_xlfn.NORM.DIST('DATA SIAP'!K162,$D$5,$D$6, FALSE)</f>
        <v>0.22848406731540458</v>
      </c>
      <c r="O163" s="7">
        <f>_xlfn.NORM.DIST('DATA SIAP'!L162,$E$5,$E$6, FALSE)</f>
        <v>3.8629683116885832E-2</v>
      </c>
      <c r="T163" s="7">
        <f t="shared" si="7"/>
        <v>9.9054295540748941E-5</v>
      </c>
      <c r="U163" s="7">
        <f t="shared" si="8"/>
        <v>2.6215761890888636E-7</v>
      </c>
      <c r="W163" s="7" t="str">
        <f t="shared" si="9"/>
        <v>ANEMIA</v>
      </c>
    </row>
    <row r="164" spans="7:23" x14ac:dyDescent="0.25">
      <c r="G164" s="7">
        <f>_xlfn.NORM.DIST('DATA SIAP'!I163,$B$2,$B$3, FALSE)</f>
        <v>0.30216375232280629</v>
      </c>
      <c r="H164" s="7">
        <f>_xlfn.NORM.DIST('DATA SIAP'!J163,$C$2,$C$3, FALSE)</f>
        <v>0.10255777641540727</v>
      </c>
      <c r="I164" s="7">
        <f>_xlfn.NORM.DIST('DATA SIAP'!K163,$D$2,$D$3, FALSE)</f>
        <v>0.15805433943805822</v>
      </c>
      <c r="J164" s="7">
        <f>_xlfn.NORM.DIST('DATA SIAP'!L163,$E$2,$E$3, FALSE)</f>
        <v>3.9792843994450912E-2</v>
      </c>
      <c r="L164" s="7">
        <f>_xlfn.NORM.DIST('DATA SIAP'!I163,$B$5,$B$6, FALSE)</f>
        <v>9.0798586436414176E-3</v>
      </c>
      <c r="M164" s="7">
        <f>_xlfn.NORM.DIST('DATA SIAP'!J163,$C$5,$C$6, FALSE)</f>
        <v>9.5729268587055869E-2</v>
      </c>
      <c r="N164" s="7">
        <f>_xlfn.NORM.DIST('DATA SIAP'!K163,$D$5,$D$6, FALSE)</f>
        <v>0.12655751590758546</v>
      </c>
      <c r="O164" s="7">
        <f>_xlfn.NORM.DIST('DATA SIAP'!L163,$E$5,$E$6, FALSE)</f>
        <v>3.6792790724857104E-2</v>
      </c>
      <c r="T164" s="7">
        <f t="shared" si="7"/>
        <v>1.0568777265207294E-4</v>
      </c>
      <c r="U164" s="7">
        <f t="shared" si="8"/>
        <v>1.8526761572615984E-6</v>
      </c>
      <c r="W164" s="7" t="str">
        <f t="shared" si="9"/>
        <v>ANEMIA</v>
      </c>
    </row>
    <row r="165" spans="7:23" x14ac:dyDescent="0.25">
      <c r="G165" s="7">
        <f>_xlfn.NORM.DIST('DATA SIAP'!I164,$B$2,$B$3, FALSE)</f>
        <v>0.24788712488480244</v>
      </c>
      <c r="H165" s="7">
        <f>_xlfn.NORM.DIST('DATA SIAP'!J164,$C$2,$C$3, FALSE)</f>
        <v>0.10216163444040036</v>
      </c>
      <c r="I165" s="7">
        <f>_xlfn.NORM.DIST('DATA SIAP'!K164,$D$2,$D$3, FALSE)</f>
        <v>0.12248570720321851</v>
      </c>
      <c r="J165" s="7">
        <f>_xlfn.NORM.DIST('DATA SIAP'!L164,$E$2,$E$3, FALSE)</f>
        <v>3.9260678864085477E-2</v>
      </c>
      <c r="L165" s="7">
        <f>_xlfn.NORM.DIST('DATA SIAP'!I164,$B$5,$B$6, FALSE)</f>
        <v>3.566020423226382E-2</v>
      </c>
      <c r="M165" s="7">
        <f>_xlfn.NORM.DIST('DATA SIAP'!J164,$C$5,$C$6, FALSE)</f>
        <v>9.5554560660704488E-2</v>
      </c>
      <c r="N165" s="7">
        <f>_xlfn.NORM.DIST('DATA SIAP'!K164,$D$5,$D$6, FALSE)</f>
        <v>9.2733895700821981E-2</v>
      </c>
      <c r="O165" s="7">
        <f>_xlfn.NORM.DIST('DATA SIAP'!L164,$E$5,$E$6, FALSE)</f>
        <v>3.629178505168304E-2</v>
      </c>
      <c r="T165" s="7">
        <f t="shared" si="7"/>
        <v>6.6037010179590547E-5</v>
      </c>
      <c r="U165" s="7">
        <f t="shared" si="8"/>
        <v>5.2493688893307429E-6</v>
      </c>
      <c r="W165" s="7" t="str">
        <f t="shared" si="9"/>
        <v>SEHAT</v>
      </c>
    </row>
    <row r="166" spans="7:23" x14ac:dyDescent="0.25">
      <c r="G166" s="7">
        <f>_xlfn.NORM.DIST('DATA SIAP'!I165,$B$2,$B$3, FALSE)</f>
        <v>3.4567812457190553E-2</v>
      </c>
      <c r="H166" s="7">
        <f>_xlfn.NORM.DIST('DATA SIAP'!J165,$C$2,$C$3, FALSE)</f>
        <v>9.8849018475037978E-2</v>
      </c>
      <c r="I166" s="7">
        <f>_xlfn.NORM.DIST('DATA SIAP'!K165,$D$2,$D$3, FALSE)</f>
        <v>0.24378919066312044</v>
      </c>
      <c r="J166" s="7">
        <f>_xlfn.NORM.DIST('DATA SIAP'!L165,$E$2,$E$3, FALSE)</f>
        <v>1.1588218885949374E-2</v>
      </c>
      <c r="L166" s="7">
        <f>_xlfn.NORM.DIST('DATA SIAP'!I165,$B$5,$B$6, FALSE)</f>
        <v>0.28031571355468393</v>
      </c>
      <c r="M166" s="7">
        <f>_xlfn.NORM.DIST('DATA SIAP'!J165,$C$5,$C$6, FALSE)</f>
        <v>9.2645434931106399E-2</v>
      </c>
      <c r="N166" s="7">
        <f>_xlfn.NORM.DIST('DATA SIAP'!K165,$D$5,$D$6, FALSE)</f>
        <v>0.27158357669282918</v>
      </c>
      <c r="O166" s="7">
        <f>_xlfn.NORM.DIST('DATA SIAP'!L165,$E$5,$E$6, FALSE)</f>
        <v>1.3920255917731012E-2</v>
      </c>
      <c r="T166" s="7">
        <f t="shared" si="7"/>
        <v>5.2345309822278777E-6</v>
      </c>
      <c r="U166" s="7">
        <f t="shared" si="8"/>
        <v>4.4941462732103932E-5</v>
      </c>
      <c r="W166" s="7" t="str">
        <f t="shared" si="9"/>
        <v>SEHAT</v>
      </c>
    </row>
    <row r="167" spans="7:23" x14ac:dyDescent="0.25">
      <c r="G167" s="7">
        <f>_xlfn.NORM.DIST('DATA SIAP'!I166,$B$2,$B$3, FALSE)</f>
        <v>5.2858549075253704E-3</v>
      </c>
      <c r="H167" s="7">
        <f>_xlfn.NORM.DIST('DATA SIAP'!J166,$C$2,$C$3, FALSE)</f>
        <v>2.0756397073274192E-2</v>
      </c>
      <c r="I167" s="7">
        <f>_xlfn.NORM.DIST('DATA SIAP'!K166,$D$2,$D$3, FALSE)</f>
        <v>0.22939862492988175</v>
      </c>
      <c r="J167" s="7">
        <f>_xlfn.NORM.DIST('DATA SIAP'!L166,$E$2,$E$3, FALSE)</f>
        <v>3.0207087405254143E-2</v>
      </c>
      <c r="L167" s="7">
        <f>_xlfn.NORM.DIST('DATA SIAP'!I166,$B$5,$B$6, FALSE)</f>
        <v>0.31475359474046671</v>
      </c>
      <c r="M167" s="7">
        <f>_xlfn.NORM.DIST('DATA SIAP'!J166,$C$5,$C$6, FALSE)</f>
        <v>2.4070071205384173E-2</v>
      </c>
      <c r="N167" s="7">
        <f>_xlfn.NORM.DIST('DATA SIAP'!K166,$D$5,$D$6, FALSE)</f>
        <v>0.20362742527633393</v>
      </c>
      <c r="O167" s="7">
        <f>_xlfn.NORM.DIST('DATA SIAP'!L166,$E$5,$E$6, FALSE)</f>
        <v>3.0976998126622048E-2</v>
      </c>
      <c r="T167" s="7">
        <f t="shared" si="7"/>
        <v>4.1225815135932951E-7</v>
      </c>
      <c r="U167" s="7">
        <f t="shared" si="8"/>
        <v>2.1875031422307772E-5</v>
      </c>
      <c r="W167" s="7" t="str">
        <f t="shared" si="9"/>
        <v>ANEMIA</v>
      </c>
    </row>
    <row r="168" spans="7:23" x14ac:dyDescent="0.25">
      <c r="G168" s="7">
        <f>_xlfn.NORM.DIST('DATA SIAP'!I167,$B$2,$B$3, FALSE)</f>
        <v>0.22233874452586838</v>
      </c>
      <c r="H168" s="7">
        <f>_xlfn.NORM.DIST('DATA SIAP'!J167,$C$2,$C$3, FALSE)</f>
        <v>4.442975829680687E-2</v>
      </c>
      <c r="I168" s="7">
        <f>_xlfn.NORM.DIST('DATA SIAP'!K167,$D$2,$D$3, FALSE)</f>
        <v>0.21834869514136626</v>
      </c>
      <c r="J168" s="7">
        <f>_xlfn.NORM.DIST('DATA SIAP'!L167,$E$2,$E$3, FALSE)</f>
        <v>3.7452971260141334E-2</v>
      </c>
      <c r="L168" s="7">
        <f>_xlfn.NORM.DIST('DATA SIAP'!I167,$B$5,$B$6, FALSE)</f>
        <v>4.9636214724807858E-2</v>
      </c>
      <c r="M168" s="7">
        <f>_xlfn.NORM.DIST('DATA SIAP'!J167,$C$5,$C$6, FALSE)</f>
        <v>4.6006459482833273E-2</v>
      </c>
      <c r="N168" s="7">
        <f>_xlfn.NORM.DIST('DATA SIAP'!K167,$D$5,$D$6, FALSE)</f>
        <v>0.19067592347995771</v>
      </c>
      <c r="O168" s="7">
        <f>_xlfn.NORM.DIST('DATA SIAP'!L167,$E$5,$E$6, FALSE)</f>
        <v>3.6776110522117274E-2</v>
      </c>
      <c r="T168" s="7">
        <f t="shared" si="7"/>
        <v>4.3805471444449165E-5</v>
      </c>
      <c r="U168" s="7">
        <f t="shared" si="8"/>
        <v>7.3300026866318975E-6</v>
      </c>
      <c r="W168" s="7" t="str">
        <f t="shared" si="9"/>
        <v>SEHAT</v>
      </c>
    </row>
    <row r="169" spans="7:23" x14ac:dyDescent="0.25">
      <c r="G169" s="7">
        <f>_xlfn.NORM.DIST('DATA SIAP'!I168,$B$2,$B$3, FALSE)</f>
        <v>1.748545125674552E-2</v>
      </c>
      <c r="H169" s="7">
        <f>_xlfn.NORM.DIST('DATA SIAP'!J168,$C$2,$C$3, FALSE)</f>
        <v>4.1637046730842078E-2</v>
      </c>
      <c r="I169" s="7">
        <f>_xlfn.NORM.DIST('DATA SIAP'!K168,$D$2,$D$3, FALSE)</f>
        <v>0.12713630690141631</v>
      </c>
      <c r="J169" s="7">
        <f>_xlfn.NORM.DIST('DATA SIAP'!L168,$E$2,$E$3, FALSE)</f>
        <v>1.5824654615493206E-2</v>
      </c>
      <c r="L169" s="7">
        <f>_xlfn.NORM.DIST('DATA SIAP'!I168,$B$5,$B$6, FALSE)</f>
        <v>0.31813827532295402</v>
      </c>
      <c r="M169" s="7">
        <f>_xlfn.NORM.DIST('DATA SIAP'!J168,$C$5,$C$6, FALSE)</f>
        <v>4.4009140975046282E-2</v>
      </c>
      <c r="N169" s="7">
        <f>_xlfn.NORM.DIST('DATA SIAP'!K168,$D$5,$D$6, FALSE)</f>
        <v>0.1547817431068946</v>
      </c>
      <c r="O169" s="7">
        <f>_xlfn.NORM.DIST('DATA SIAP'!L168,$E$5,$E$6, FALSE)</f>
        <v>1.810519803861366E-2</v>
      </c>
      <c r="T169" s="7">
        <f t="shared" si="7"/>
        <v>7.9426051915013447E-7</v>
      </c>
      <c r="U169" s="7">
        <f t="shared" si="8"/>
        <v>1.7960020953407135E-5</v>
      </c>
      <c r="W169" s="7" t="str">
        <f t="shared" si="9"/>
        <v>ANEMIA</v>
      </c>
    </row>
    <row r="170" spans="7:23" x14ac:dyDescent="0.25">
      <c r="G170" s="7">
        <f>_xlfn.NORM.DIST('DATA SIAP'!I169,$B$2,$B$3, FALSE)</f>
        <v>0.11112255931408969</v>
      </c>
      <c r="H170" s="7">
        <f>_xlfn.NORM.DIST('DATA SIAP'!J169,$C$2,$C$3, FALSE)</f>
        <v>2.5859294948494115E-2</v>
      </c>
      <c r="I170" s="7">
        <f>_xlfn.NORM.DIST('DATA SIAP'!K169,$D$2,$D$3, FALSE)</f>
        <v>0.27431225568526008</v>
      </c>
      <c r="J170" s="7">
        <f>_xlfn.NORM.DIST('DATA SIAP'!L169,$E$2,$E$3, FALSE)</f>
        <v>2.7720915636639244E-2</v>
      </c>
      <c r="L170" s="7">
        <f>_xlfn.NORM.DIST('DATA SIAP'!I169,$B$5,$B$6, FALSE)</f>
        <v>2.9974745226935406E-5</v>
      </c>
      <c r="M170" s="7">
        <f>_xlfn.NORM.DIST('DATA SIAP'!J169,$C$5,$C$6, FALSE)</f>
        <v>2.8685715648412768E-2</v>
      </c>
      <c r="N170" s="7">
        <f>_xlfn.NORM.DIST('DATA SIAP'!K169,$D$5,$D$6, FALSE)</f>
        <v>0.29219497405814265</v>
      </c>
      <c r="O170" s="7">
        <f>_xlfn.NORM.DIST('DATA SIAP'!L169,$E$5,$E$6, FALSE)</f>
        <v>2.5945056404321751E-2</v>
      </c>
      <c r="T170" s="7">
        <f t="shared" si="7"/>
        <v>1.1848792071107314E-5</v>
      </c>
      <c r="U170" s="7">
        <f t="shared" si="8"/>
        <v>2.9838264712645468E-9</v>
      </c>
      <c r="W170" s="7" t="str">
        <f t="shared" si="9"/>
        <v>ANEMIA</v>
      </c>
    </row>
    <row r="171" spans="7:23" x14ac:dyDescent="0.25">
      <c r="G171" s="7">
        <f>_xlfn.NORM.DIST('DATA SIAP'!I170,$B$2,$B$3, FALSE)</f>
        <v>0.2354474783467411</v>
      </c>
      <c r="H171" s="7">
        <f>_xlfn.NORM.DIST('DATA SIAP'!J170,$C$2,$C$3, FALSE)</f>
        <v>2.5995567843395465E-2</v>
      </c>
      <c r="I171" s="7">
        <f>_xlfn.NORM.DIST('DATA SIAP'!K170,$D$2,$D$3, FALSE)</f>
        <v>9.470219971360351E-2</v>
      </c>
      <c r="J171" s="7">
        <f>_xlfn.NORM.DIST('DATA SIAP'!L170,$E$2,$E$3, FALSE)</f>
        <v>3.2103345727641522E-2</v>
      </c>
      <c r="L171" s="7">
        <f>_xlfn.NORM.DIST('DATA SIAP'!I170,$B$5,$B$6, FALSE)</f>
        <v>4.2212674869411319E-2</v>
      </c>
      <c r="M171" s="7">
        <f>_xlfn.NORM.DIST('DATA SIAP'!J170,$C$5,$C$6, FALSE)</f>
        <v>2.9257200308458728E-2</v>
      </c>
      <c r="N171" s="7">
        <f>_xlfn.NORM.DIST('DATA SIAP'!K170,$D$5,$D$6, FALSE)</f>
        <v>0.1176432423163154</v>
      </c>
      <c r="O171" s="7">
        <f>_xlfn.NORM.DIST('DATA SIAP'!L170,$E$5,$E$6, FALSE)</f>
        <v>3.2543691331192372E-2</v>
      </c>
      <c r="T171" s="7">
        <f t="shared" si="7"/>
        <v>1.0090346856643252E-5</v>
      </c>
      <c r="U171" s="7">
        <f t="shared" si="8"/>
        <v>2.1643846618806298E-6</v>
      </c>
      <c r="W171" s="7" t="str">
        <f t="shared" si="9"/>
        <v>ANEMIA</v>
      </c>
    </row>
    <row r="172" spans="7:23" x14ac:dyDescent="0.25">
      <c r="G172" s="7">
        <f>_xlfn.NORM.DIST('DATA SIAP'!I171,$B$2,$B$3, FALSE)</f>
        <v>0.12657029558409025</v>
      </c>
      <c r="H172" s="7">
        <f>_xlfn.NORM.DIST('DATA SIAP'!J171,$C$2,$C$3, FALSE)</f>
        <v>0.10210292173925539</v>
      </c>
      <c r="I172" s="7">
        <f>_xlfn.NORM.DIST('DATA SIAP'!K171,$D$2,$D$3, FALSE)</f>
        <v>0.17534041784492749</v>
      </c>
      <c r="J172" s="7">
        <f>_xlfn.NORM.DIST('DATA SIAP'!L171,$E$2,$E$3, FALSE)</f>
        <v>4.2535183622673313E-2</v>
      </c>
      <c r="L172" s="7">
        <f>_xlfn.NORM.DIST('DATA SIAP'!I171,$B$5,$B$6, FALSE)</f>
        <v>0.12793745743646967</v>
      </c>
      <c r="M172" s="7">
        <f>_xlfn.NORM.DIST('DATA SIAP'!J171,$C$5,$C$6, FALSE)</f>
        <v>9.5348616554746732E-2</v>
      </c>
      <c r="N172" s="7">
        <f>_xlfn.NORM.DIST('DATA SIAP'!K171,$D$5,$D$6, FALSE)</f>
        <v>0.20684161907798584</v>
      </c>
      <c r="O172" s="7">
        <f>_xlfn.NORM.DIST('DATA SIAP'!L171,$E$5,$E$6, FALSE)</f>
        <v>3.955018890874893E-2</v>
      </c>
      <c r="T172" s="7">
        <f t="shared" si="7"/>
        <v>5.2264005890693335E-5</v>
      </c>
      <c r="U172" s="7">
        <f t="shared" si="8"/>
        <v>4.5679739093241945E-5</v>
      </c>
      <c r="W172" s="7" t="str">
        <f t="shared" si="9"/>
        <v>SEHAT</v>
      </c>
    </row>
    <row r="173" spans="7:23" x14ac:dyDescent="0.25">
      <c r="G173" s="7">
        <f>_xlfn.NORM.DIST('DATA SIAP'!I172,$B$2,$B$3, FALSE)</f>
        <v>5.2858549075253704E-3</v>
      </c>
      <c r="H173" s="7">
        <f>_xlfn.NORM.DIST('DATA SIAP'!J172,$C$2,$C$3, FALSE)</f>
        <v>9.4091507067202471E-2</v>
      </c>
      <c r="I173" s="7">
        <f>_xlfn.NORM.DIST('DATA SIAP'!K172,$D$2,$D$3, FALSE)</f>
        <v>0.23371301560207772</v>
      </c>
      <c r="J173" s="7">
        <f>_xlfn.NORM.DIST('DATA SIAP'!L172,$E$2,$E$3, FALSE)</f>
        <v>4.2736088859034703E-2</v>
      </c>
      <c r="L173" s="7">
        <f>_xlfn.NORM.DIST('DATA SIAP'!I172,$B$5,$B$6, FALSE)</f>
        <v>0.31475359474046671</v>
      </c>
      <c r="M173" s="7">
        <f>_xlfn.NORM.DIST('DATA SIAP'!J172,$C$5,$C$6, FALSE)</f>
        <v>8.8702509228980084E-2</v>
      </c>
      <c r="N173" s="7">
        <f>_xlfn.NORM.DIST('DATA SIAP'!K172,$D$5,$D$6, FALSE)</f>
        <v>0.26307336761375211</v>
      </c>
      <c r="O173" s="7">
        <f>_xlfn.NORM.DIST('DATA SIAP'!L172,$E$5,$E$6, FALSE)</f>
        <v>3.9788167204818571E-2</v>
      </c>
      <c r="T173" s="7">
        <f t="shared" si="7"/>
        <v>2.6936782292512247E-6</v>
      </c>
      <c r="U173" s="7">
        <f t="shared" si="8"/>
        <v>1.3377114212454751E-4</v>
      </c>
      <c r="W173" s="7" t="str">
        <f t="shared" si="9"/>
        <v>SEHAT</v>
      </c>
    </row>
    <row r="174" spans="7:23" x14ac:dyDescent="0.25">
      <c r="G174" s="7">
        <f>_xlfn.NORM.DIST('DATA SIAP'!I173,$B$2,$B$3, FALSE)</f>
        <v>5.4227430483013976E-2</v>
      </c>
      <c r="H174" s="7">
        <f>_xlfn.NORM.DIST('DATA SIAP'!J173,$C$2,$C$3, FALSE)</f>
        <v>0.10329739699782942</v>
      </c>
      <c r="I174" s="7">
        <f>_xlfn.NORM.DIST('DATA SIAP'!K173,$D$2,$D$3, FALSE)</f>
        <v>0.19972434609323236</v>
      </c>
      <c r="J174" s="7">
        <f>_xlfn.NORM.DIST('DATA SIAP'!L173,$E$2,$E$3, FALSE)</f>
        <v>1.0222363593898581E-2</v>
      </c>
      <c r="L174" s="7">
        <f>_xlfn.NORM.DIST('DATA SIAP'!I173,$B$5,$B$6, FALSE)</f>
        <v>0.23764944520286474</v>
      </c>
      <c r="M174" s="7">
        <f>_xlfn.NORM.DIST('DATA SIAP'!J173,$C$5,$C$6, FALSE)</f>
        <v>9.6443539906064524E-2</v>
      </c>
      <c r="N174" s="7">
        <f>_xlfn.NORM.DIST('DATA SIAP'!K173,$D$5,$D$6, FALSE)</f>
        <v>0.23145932521706172</v>
      </c>
      <c r="O174" s="7">
        <f>_xlfn.NORM.DIST('DATA SIAP'!L173,$E$5,$E$6, FALSE)</f>
        <v>1.2517748925583074E-2</v>
      </c>
      <c r="T174" s="7">
        <f t="shared" si="7"/>
        <v>6.201448149643544E-6</v>
      </c>
      <c r="U174" s="7">
        <f t="shared" si="8"/>
        <v>3.0397360823068907E-5</v>
      </c>
      <c r="W174" s="7" t="str">
        <f t="shared" si="9"/>
        <v>ANEMIA</v>
      </c>
    </row>
    <row r="175" spans="7:23" x14ac:dyDescent="0.25">
      <c r="G175" s="7">
        <f>_xlfn.NORM.DIST('DATA SIAP'!I174,$B$2,$B$3, FALSE)</f>
        <v>0.26753262994835175</v>
      </c>
      <c r="H175" s="7">
        <f>_xlfn.NORM.DIST('DATA SIAP'!J174,$C$2,$C$3, FALSE)</f>
        <v>8.2676258402150635E-2</v>
      </c>
      <c r="I175" s="7">
        <f>_xlfn.NORM.DIST('DATA SIAP'!K174,$D$2,$D$3, FALSE)</f>
        <v>7.2336844110314991E-2</v>
      </c>
      <c r="J175" s="7">
        <f>_xlfn.NORM.DIST('DATA SIAP'!L174,$E$2,$E$3, FALSE)</f>
        <v>1.1792197701199996E-2</v>
      </c>
      <c r="L175" s="7">
        <f>_xlfn.NORM.DIST('DATA SIAP'!I174,$B$5,$B$6, FALSE)</f>
        <v>1.2732285241197699E-3</v>
      </c>
      <c r="M175" s="7">
        <f>_xlfn.NORM.DIST('DATA SIAP'!J174,$C$5,$C$6, FALSE)</f>
        <v>7.9670096278473143E-2</v>
      </c>
      <c r="N175" s="7">
        <f>_xlfn.NORM.DIST('DATA SIAP'!K174,$D$5,$D$6, FALSE)</f>
        <v>4.9554332509160672E-2</v>
      </c>
      <c r="O175" s="7">
        <f>_xlfn.NORM.DIST('DATA SIAP'!L174,$E$5,$E$6, FALSE)</f>
        <v>1.4127239788405768E-2</v>
      </c>
      <c r="T175" s="7">
        <f t="shared" si="7"/>
        <v>1.0230909967818792E-5</v>
      </c>
      <c r="U175" s="7">
        <f t="shared" si="8"/>
        <v>3.2506159434970418E-8</v>
      </c>
      <c r="W175" s="7" t="str">
        <f t="shared" si="9"/>
        <v>SEHAT</v>
      </c>
    </row>
    <row r="176" spans="7:23" x14ac:dyDescent="0.25">
      <c r="G176" s="7">
        <f>_xlfn.NORM.DIST('DATA SIAP'!I175,$B$2,$B$3, FALSE)</f>
        <v>6.5464560736304186E-3</v>
      </c>
      <c r="H176" s="7">
        <f>_xlfn.NORM.DIST('DATA SIAP'!J175,$C$2,$C$3, FALSE)</f>
        <v>7.9529562482071894E-2</v>
      </c>
      <c r="I176" s="7">
        <f>_xlfn.NORM.DIST('DATA SIAP'!K175,$D$2,$D$3, FALSE)</f>
        <v>0.25300927958246416</v>
      </c>
      <c r="J176" s="7">
        <f>_xlfn.NORM.DIST('DATA SIAP'!L175,$E$2,$E$3, FALSE)</f>
        <v>2.5724494627192313E-2</v>
      </c>
      <c r="L176" s="7">
        <f>_xlfn.NORM.DIST('DATA SIAP'!I175,$B$5,$B$6, FALSE)</f>
        <v>0.32062919492472447</v>
      </c>
      <c r="M176" s="7">
        <f>_xlfn.NORM.DIST('DATA SIAP'!J175,$C$5,$C$6, FALSE)</f>
        <v>7.6535332316773924E-2</v>
      </c>
      <c r="N176" s="7">
        <f>_xlfn.NORM.DIST('DATA SIAP'!K175,$D$5,$D$6, FALSE)</f>
        <v>0.27885369204976324</v>
      </c>
      <c r="O176" s="7">
        <f>_xlfn.NORM.DIST('DATA SIAP'!L175,$E$5,$E$6, FALSE)</f>
        <v>2.7154758459571125E-2</v>
      </c>
      <c r="T176" s="7">
        <f t="shared" si="7"/>
        <v>1.8374711701761833E-6</v>
      </c>
      <c r="U176" s="7">
        <f t="shared" si="8"/>
        <v>8.5057456580371258E-5</v>
      </c>
      <c r="W176" s="7" t="str">
        <f t="shared" si="9"/>
        <v>SEHAT</v>
      </c>
    </row>
    <row r="177" spans="7:23" x14ac:dyDescent="0.25">
      <c r="G177" s="7">
        <f>_xlfn.NORM.DIST('DATA SIAP'!I176,$B$2,$B$3, FALSE)</f>
        <v>1.0054188033119906E-3</v>
      </c>
      <c r="H177" s="7">
        <f>_xlfn.NORM.DIST('DATA SIAP'!J176,$C$2,$C$3, FALSE)</f>
        <v>6.0292402049089353E-2</v>
      </c>
      <c r="I177" s="7">
        <f>_xlfn.NORM.DIST('DATA SIAP'!K176,$D$2,$D$3, FALSE)</f>
        <v>7.2336844110314991E-2</v>
      </c>
      <c r="J177" s="7">
        <f>_xlfn.NORM.DIST('DATA SIAP'!L176,$E$2,$E$3, FALSE)</f>
        <v>2.2085781328403598E-2</v>
      </c>
      <c r="L177" s="7">
        <f>_xlfn.NORM.DIST('DATA SIAP'!I176,$B$5,$B$6, FALSE)</f>
        <v>0.22932569914643791</v>
      </c>
      <c r="M177" s="7">
        <f>_xlfn.NORM.DIST('DATA SIAP'!J176,$C$5,$C$6, FALSE)</f>
        <v>6.0068608286294491E-2</v>
      </c>
      <c r="N177" s="7">
        <f>_xlfn.NORM.DIST('DATA SIAP'!K176,$D$5,$D$6, FALSE)</f>
        <v>4.9554332509160672E-2</v>
      </c>
      <c r="O177" s="7">
        <f>_xlfn.NORM.DIST('DATA SIAP'!L176,$E$5,$E$6, FALSE)</f>
        <v>2.393090344504192E-2</v>
      </c>
      <c r="T177" s="7">
        <f t="shared" si="7"/>
        <v>5.2515111980545559E-8</v>
      </c>
      <c r="U177" s="7">
        <f t="shared" si="8"/>
        <v>7.4776654956949561E-6</v>
      </c>
      <c r="W177" s="7" t="str">
        <f t="shared" si="9"/>
        <v>SEHAT</v>
      </c>
    </row>
    <row r="178" spans="7:23" x14ac:dyDescent="0.25">
      <c r="G178" s="7">
        <f>_xlfn.NORM.DIST('DATA SIAP'!I177,$B$2,$B$3, FALSE)</f>
        <v>2.9407058498165824E-2</v>
      </c>
      <c r="H178" s="7">
        <f>_xlfn.NORM.DIST('DATA SIAP'!J177,$C$2,$C$3, FALSE)</f>
        <v>3.4463098450627262E-2</v>
      </c>
      <c r="I178" s="7">
        <f>_xlfn.NORM.DIST('DATA SIAP'!K177,$D$2,$D$3, FALSE)</f>
        <v>0.19972434609323236</v>
      </c>
      <c r="J178" s="7">
        <f>_xlfn.NORM.DIST('DATA SIAP'!L177,$E$2,$E$3, FALSE)</f>
        <v>2.8540947525619059E-2</v>
      </c>
      <c r="L178" s="7">
        <f>_xlfn.NORM.DIST('DATA SIAP'!I177,$B$5,$B$6, FALSE)</f>
        <v>0.29224323073070041</v>
      </c>
      <c r="M178" s="7">
        <f>_xlfn.NORM.DIST('DATA SIAP'!J177,$C$5,$C$6, FALSE)</f>
        <v>3.6856326228647367E-2</v>
      </c>
      <c r="N178" s="7">
        <f>_xlfn.NORM.DIST('DATA SIAP'!K177,$D$5,$D$6, FALSE)</f>
        <v>0.23145932521706172</v>
      </c>
      <c r="O178" s="7">
        <f>_xlfn.NORM.DIST('DATA SIAP'!L177,$E$5,$E$6, FALSE)</f>
        <v>2.9575454081846305E-2</v>
      </c>
      <c r="T178" s="7">
        <f t="shared" si="7"/>
        <v>3.1326197521606423E-6</v>
      </c>
      <c r="U178" s="7">
        <f t="shared" si="8"/>
        <v>3.3751075762316013E-5</v>
      </c>
      <c r="W178" s="7" t="str">
        <f t="shared" si="9"/>
        <v>ANEMIA</v>
      </c>
    </row>
    <row r="179" spans="7:23" x14ac:dyDescent="0.25">
      <c r="G179" s="7">
        <f>_xlfn.NORM.DIST('DATA SIAP'!I178,$B$2,$B$3, FALSE)</f>
        <v>0.29247827880955168</v>
      </c>
      <c r="H179" s="7">
        <f>_xlfn.NORM.DIST('DATA SIAP'!J178,$C$2,$C$3, FALSE)</f>
        <v>4.5946974275676865E-2</v>
      </c>
      <c r="I179" s="7">
        <f>_xlfn.NORM.DIST('DATA SIAP'!K178,$D$2,$D$3, FALSE)</f>
        <v>0.21153935719650352</v>
      </c>
      <c r="J179" s="7">
        <f>_xlfn.NORM.DIST('DATA SIAP'!L178,$E$2,$E$3, FALSE)</f>
        <v>3.6112991512409216E-2</v>
      </c>
      <c r="L179" s="7">
        <f>_xlfn.NORM.DIST('DATA SIAP'!I178,$B$5,$B$6, FALSE)</f>
        <v>2.7965373107455933E-3</v>
      </c>
      <c r="M179" s="7">
        <f>_xlfn.NORM.DIST('DATA SIAP'!J178,$C$5,$C$6, FALSE)</f>
        <v>4.7375442874265865E-2</v>
      </c>
      <c r="N179" s="7">
        <f>_xlfn.NORM.DIST('DATA SIAP'!K178,$D$5,$D$6, FALSE)</f>
        <v>0.24286362542611273</v>
      </c>
      <c r="O179" s="7">
        <f>_xlfn.NORM.DIST('DATA SIAP'!L178,$E$5,$E$6, FALSE)</f>
        <v>3.574601496646352E-2</v>
      </c>
      <c r="T179" s="7">
        <f t="shared" si="7"/>
        <v>5.5668249176519983E-5</v>
      </c>
      <c r="U179" s="7">
        <f t="shared" si="8"/>
        <v>5.2648865800742848E-7</v>
      </c>
      <c r="W179" s="7" t="str">
        <f t="shared" si="9"/>
        <v>SEHAT</v>
      </c>
    </row>
    <row r="180" spans="7:23" x14ac:dyDescent="0.25">
      <c r="G180" s="7">
        <f>_xlfn.NORM.DIST('DATA SIAP'!I179,$B$2,$B$3, FALSE)</f>
        <v>1.2010622387859344E-2</v>
      </c>
      <c r="H180" s="7">
        <f>_xlfn.NORM.DIST('DATA SIAP'!J179,$C$2,$C$3, FALSE)</f>
        <v>2.2633098519131582E-2</v>
      </c>
      <c r="I180" s="7">
        <f>_xlfn.NORM.DIST('DATA SIAP'!K179,$D$2,$D$3, FALSE)</f>
        <v>0.24378919066312044</v>
      </c>
      <c r="J180" s="7">
        <f>_xlfn.NORM.DIST('DATA SIAP'!L179,$E$2,$E$3, FALSE)</f>
        <v>1.160403443024596E-2</v>
      </c>
      <c r="L180" s="7">
        <f>_xlfn.NORM.DIST('DATA SIAP'!I179,$B$5,$B$6, FALSE)</f>
        <v>0.3255971339791599</v>
      </c>
      <c r="M180" s="7">
        <f>_xlfn.NORM.DIST('DATA SIAP'!J179,$C$5,$C$6, FALSE)</f>
        <v>2.5537513137463275E-2</v>
      </c>
      <c r="N180" s="7">
        <f>_xlfn.NORM.DIST('DATA SIAP'!K179,$D$5,$D$6, FALSE)</f>
        <v>0.27158357669282918</v>
      </c>
      <c r="O180" s="7">
        <f>_xlfn.NORM.DIST('DATA SIAP'!L179,$E$5,$E$6, FALSE)</f>
        <v>1.1586640308935971E-2</v>
      </c>
      <c r="T180" s="7">
        <f t="shared" si="7"/>
        <v>4.1699933461187136E-7</v>
      </c>
      <c r="U180" s="7">
        <f t="shared" si="8"/>
        <v>1.1976921895605424E-5</v>
      </c>
      <c r="W180" s="7" t="str">
        <f t="shared" si="9"/>
        <v>ANEMIA</v>
      </c>
    </row>
    <row r="181" spans="7:23" x14ac:dyDescent="0.25">
      <c r="G181" s="7">
        <f>_xlfn.NORM.DIST('DATA SIAP'!I180,$B$2,$B$3, FALSE)</f>
        <v>0.21902250053629846</v>
      </c>
      <c r="H181" s="7">
        <f>_xlfn.NORM.DIST('DATA SIAP'!J180,$C$2,$C$3, FALSE)</f>
        <v>9.3116210059479232E-2</v>
      </c>
      <c r="I181" s="7">
        <f>_xlfn.NORM.DIST('DATA SIAP'!K180,$D$2,$D$3, FALSE)</f>
        <v>0.27722454854897127</v>
      </c>
      <c r="J181" s="7">
        <f>_xlfn.NORM.DIST('DATA SIAP'!L180,$E$2,$E$3, FALSE)</f>
        <v>2.1557241384087281E-2</v>
      </c>
      <c r="L181" s="7">
        <f>_xlfn.NORM.DIST('DATA SIAP'!I180,$B$5,$B$6, FALSE)</f>
        <v>4.061080910159737E-4</v>
      </c>
      <c r="M181" s="7">
        <f>_xlfn.NORM.DIST('DATA SIAP'!J180,$C$5,$C$6, FALSE)</f>
        <v>8.8267340608181394E-2</v>
      </c>
      <c r="N181" s="7">
        <f>_xlfn.NORM.DIST('DATA SIAP'!K180,$D$5,$D$6, FALSE)</f>
        <v>0.26955695164547089</v>
      </c>
      <c r="O181" s="7">
        <f>_xlfn.NORM.DIST('DATA SIAP'!L180,$E$5,$E$6, FALSE)</f>
        <v>2.0508661332566448E-2</v>
      </c>
      <c r="T181" s="7">
        <f t="shared" si="7"/>
        <v>6.6090840453637348E-5</v>
      </c>
      <c r="U181" s="7">
        <f t="shared" si="8"/>
        <v>9.0709870364678774E-8</v>
      </c>
      <c r="W181" s="7" t="str">
        <f t="shared" si="9"/>
        <v>SEHAT</v>
      </c>
    </row>
    <row r="182" spans="7:23" x14ac:dyDescent="0.25">
      <c r="G182" s="7">
        <f>_xlfn.NORM.DIST('DATA SIAP'!I181,$B$2,$B$3, FALSE)</f>
        <v>9.1134535664730731E-2</v>
      </c>
      <c r="H182" s="7">
        <f>_xlfn.NORM.DIST('DATA SIAP'!J181,$C$2,$C$3, FALSE)</f>
        <v>9.9716342384519555E-2</v>
      </c>
      <c r="I182" s="7">
        <f>_xlfn.NORM.DIST('DATA SIAP'!K181,$D$2,$D$3, FALSE)</f>
        <v>0.14591803167133907</v>
      </c>
      <c r="J182" s="7">
        <f>_xlfn.NORM.DIST('DATA SIAP'!L181,$E$2,$E$3, FALSE)</f>
        <v>2.2639147279342735E-2</v>
      </c>
      <c r="L182" s="7">
        <f>_xlfn.NORM.DIST('DATA SIAP'!I181,$B$5,$B$6, FALSE)</f>
        <v>0.17365085003564773</v>
      </c>
      <c r="M182" s="7">
        <f>_xlfn.NORM.DIST('DATA SIAP'!J181,$C$5,$C$6, FALSE)</f>
        <v>9.3606581422587057E-2</v>
      </c>
      <c r="N182" s="7">
        <f>_xlfn.NORM.DIST('DATA SIAP'!K181,$D$5,$D$6, FALSE)</f>
        <v>0.11471631470308251</v>
      </c>
      <c r="O182" s="7">
        <f>_xlfn.NORM.DIST('DATA SIAP'!L181,$E$5,$E$6, FALSE)</f>
        <v>2.4428365875256604E-2</v>
      </c>
      <c r="T182" s="7">
        <f t="shared" si="7"/>
        <v>1.6278738005476635E-5</v>
      </c>
      <c r="U182" s="7">
        <f t="shared" si="8"/>
        <v>2.0851049213744138E-5</v>
      </c>
      <c r="W182" s="7" t="str">
        <f t="shared" si="9"/>
        <v>SEHAT</v>
      </c>
    </row>
    <row r="183" spans="7:23" x14ac:dyDescent="0.25">
      <c r="G183" s="7">
        <f>_xlfn.NORM.DIST('DATA SIAP'!I182,$B$2,$B$3, FALSE)</f>
        <v>1.2967934154064259E-3</v>
      </c>
      <c r="H183" s="7">
        <f>_xlfn.NORM.DIST('DATA SIAP'!J182,$C$2,$C$3, FALSE)</f>
        <v>8.5517974112032574E-2</v>
      </c>
      <c r="I183" s="7">
        <f>_xlfn.NORM.DIST('DATA SIAP'!K182,$D$2,$D$3, FALSE)</f>
        <v>8.1193976727337386E-2</v>
      </c>
      <c r="J183" s="7">
        <f>_xlfn.NORM.DIST('DATA SIAP'!L182,$E$2,$E$3, FALSE)</f>
        <v>2.7698995913546257E-2</v>
      </c>
      <c r="L183" s="7">
        <f>_xlfn.NORM.DIST('DATA SIAP'!I182,$B$5,$B$6, FALSE)</f>
        <v>0.24479804495420682</v>
      </c>
      <c r="M183" s="7">
        <f>_xlfn.NORM.DIST('DATA SIAP'!J182,$C$5,$C$6, FALSE)</f>
        <v>8.2027027980283176E-2</v>
      </c>
      <c r="N183" s="7">
        <f>_xlfn.NORM.DIST('DATA SIAP'!K182,$D$5,$D$6, FALSE)</f>
        <v>5.6783277125935824E-2</v>
      </c>
      <c r="O183" s="7">
        <f>_xlfn.NORM.DIST('DATA SIAP'!L182,$E$5,$E$6, FALSE)</f>
        <v>2.8858559028918776E-2</v>
      </c>
      <c r="T183" s="7">
        <f t="shared" si="7"/>
        <v>1.3524412877485145E-7</v>
      </c>
      <c r="U183" s="7">
        <f t="shared" si="8"/>
        <v>1.5062082741999349E-5</v>
      </c>
      <c r="W183" s="7" t="str">
        <f t="shared" si="9"/>
        <v>SEHAT</v>
      </c>
    </row>
    <row r="184" spans="7:23" x14ac:dyDescent="0.25">
      <c r="G184" s="7">
        <f>_xlfn.NORM.DIST('DATA SIAP'!I183,$B$2,$B$3, FALSE)</f>
        <v>6.2282131541449362E-2</v>
      </c>
      <c r="H184" s="7">
        <f>_xlfn.NORM.DIST('DATA SIAP'!J183,$C$2,$C$3, FALSE)</f>
        <v>8.1208436893043662E-2</v>
      </c>
      <c r="I184" s="7">
        <f>_xlfn.NORM.DIST('DATA SIAP'!K183,$D$2,$D$3, FALSE)</f>
        <v>0.28106392084554088</v>
      </c>
      <c r="J184" s="7">
        <f>_xlfn.NORM.DIST('DATA SIAP'!L183,$E$2,$E$3, FALSE)</f>
        <v>3.3154678154368671E-2</v>
      </c>
      <c r="L184" s="7">
        <f>_xlfn.NORM.DIST('DATA SIAP'!I183,$B$5,$B$6, FALSE)</f>
        <v>0.22193547602789976</v>
      </c>
      <c r="M184" s="7">
        <f>_xlfn.NORM.DIST('DATA SIAP'!J183,$C$5,$C$6, FALSE)</f>
        <v>7.8447780358726182E-2</v>
      </c>
      <c r="N184" s="7">
        <f>_xlfn.NORM.DIST('DATA SIAP'!K183,$D$5,$D$6, FALSE)</f>
        <v>0.27714999836250115</v>
      </c>
      <c r="O184" s="7">
        <f>_xlfn.NORM.DIST('DATA SIAP'!L183,$E$5,$E$6, FALSE)</f>
        <v>3.3398634130172113E-2</v>
      </c>
      <c r="T184" s="7">
        <f t="shared" si="7"/>
        <v>2.5557414479713768E-5</v>
      </c>
      <c r="U184" s="7">
        <f t="shared" si="8"/>
        <v>7.3769355283020307E-5</v>
      </c>
      <c r="W184" s="7" t="str">
        <f t="shared" si="9"/>
        <v>ANEMIA</v>
      </c>
    </row>
    <row r="185" spans="7:23" x14ac:dyDescent="0.25">
      <c r="G185" s="7">
        <f>_xlfn.NORM.DIST('DATA SIAP'!I184,$B$2,$B$3, FALSE)</f>
        <v>0.17736729937969981</v>
      </c>
      <c r="H185" s="7">
        <f>_xlfn.NORM.DIST('DATA SIAP'!J184,$C$2,$C$3, FALSE)</f>
        <v>7.0095800873473543E-2</v>
      </c>
      <c r="I185" s="7">
        <f>_xlfn.NORM.DIST('DATA SIAP'!K184,$D$2,$D$3, FALSE)</f>
        <v>0.23371301560207772</v>
      </c>
      <c r="J185" s="7">
        <f>_xlfn.NORM.DIST('DATA SIAP'!L184,$E$2,$E$3, FALSE)</f>
        <v>2.628915142917777E-2</v>
      </c>
      <c r="L185" s="7">
        <f>_xlfn.NORM.DIST('DATA SIAP'!I184,$B$5,$B$6, FALSE)</f>
        <v>1.6067889059008145E-4</v>
      </c>
      <c r="M185" s="7">
        <f>_xlfn.NORM.DIST('DATA SIAP'!J184,$C$5,$C$6, FALSE)</f>
        <v>6.8526910025946658E-2</v>
      </c>
      <c r="N185" s="7">
        <f>_xlfn.NORM.DIST('DATA SIAP'!K184,$D$5,$D$6, FALSE)</f>
        <v>0.26307336761375211</v>
      </c>
      <c r="O185" s="7">
        <f>_xlfn.NORM.DIST('DATA SIAP'!L184,$E$5,$E$6, FALSE)</f>
        <v>2.7645233928289638E-2</v>
      </c>
      <c r="T185" s="7">
        <f t="shared" si="7"/>
        <v>4.142165084076674E-5</v>
      </c>
      <c r="U185" s="7">
        <f t="shared" si="8"/>
        <v>3.665575250105665E-8</v>
      </c>
      <c r="W185" s="7" t="str">
        <f t="shared" si="9"/>
        <v>SEHAT</v>
      </c>
    </row>
    <row r="186" spans="7:23" x14ac:dyDescent="0.25">
      <c r="G186" s="7">
        <f>_xlfn.NORM.DIST('DATA SIAP'!I185,$B$2,$B$3, FALSE)</f>
        <v>2.1201250670888029E-3</v>
      </c>
      <c r="H186" s="7">
        <f>_xlfn.NORM.DIST('DATA SIAP'!J185,$C$2,$C$3, FALSE)</f>
        <v>0.10351288298543797</v>
      </c>
      <c r="I186" s="7">
        <f>_xlfn.NORM.DIST('DATA SIAP'!K185,$D$2,$D$3, FALSE)</f>
        <v>0.28409794666229643</v>
      </c>
      <c r="J186" s="7">
        <f>_xlfn.NORM.DIST('DATA SIAP'!L185,$E$2,$E$3, FALSE)</f>
        <v>1.023696655722252E-2</v>
      </c>
      <c r="L186" s="7">
        <f>_xlfn.NORM.DIST('DATA SIAP'!I185,$B$5,$B$6, FALSE)</f>
        <v>0.27340634464238739</v>
      </c>
      <c r="M186" s="7">
        <f>_xlfn.NORM.DIST('DATA SIAP'!J185,$C$5,$C$6, FALSE)</f>
        <v>9.653844857931182E-2</v>
      </c>
      <c r="N186" s="7">
        <f>_xlfn.NORM.DIST('DATA SIAP'!K185,$D$5,$D$6, FALSE)</f>
        <v>0.29159869003801719</v>
      </c>
      <c r="O186" s="7">
        <f>_xlfn.NORM.DIST('DATA SIAP'!L185,$E$5,$E$6, FALSE)</f>
        <v>1.0330413117694301E-2</v>
      </c>
      <c r="T186" s="7">
        <f t="shared" si="7"/>
        <v>3.4609684916380454E-7</v>
      </c>
      <c r="U186" s="7">
        <f t="shared" si="8"/>
        <v>3.6394618737308816E-5</v>
      </c>
      <c r="W186" s="7" t="str">
        <f t="shared" si="9"/>
        <v>ANEMIA</v>
      </c>
    </row>
    <row r="187" spans="7:23" x14ac:dyDescent="0.25">
      <c r="G187" s="7">
        <f>_xlfn.NORM.DIST('DATA SIAP'!I186,$B$2,$B$3, FALSE)</f>
        <v>0.30370402725352391</v>
      </c>
      <c r="H187" s="7">
        <f>_xlfn.NORM.DIST('DATA SIAP'!J186,$C$2,$C$3, FALSE)</f>
        <v>0.10381084285026893</v>
      </c>
      <c r="I187" s="7">
        <f>_xlfn.NORM.DIST('DATA SIAP'!K186,$D$2,$D$3, FALSE)</f>
        <v>0.27431225568526008</v>
      </c>
      <c r="J187" s="7">
        <f>_xlfn.NORM.DIST('DATA SIAP'!L186,$E$2,$E$3, FALSE)</f>
        <v>9.6704989457077634E-3</v>
      </c>
      <c r="L187" s="7">
        <f>_xlfn.NORM.DIST('DATA SIAP'!I186,$B$5,$B$6, FALSE)</f>
        <v>7.2709962889710416E-3</v>
      </c>
      <c r="M187" s="7">
        <f>_xlfn.NORM.DIST('DATA SIAP'!J186,$C$5,$C$6, FALSE)</f>
        <v>9.6825929758144746E-2</v>
      </c>
      <c r="N187" s="7">
        <f>_xlfn.NORM.DIST('DATA SIAP'!K186,$D$5,$D$6, FALSE)</f>
        <v>0.29219497405814265</v>
      </c>
      <c r="O187" s="7">
        <f>_xlfn.NORM.DIST('DATA SIAP'!L186,$E$5,$E$6, FALSE)</f>
        <v>1.194236375108941E-2</v>
      </c>
      <c r="T187" s="7">
        <f t="shared" si="7"/>
        <v>4.5351300152144384E-5</v>
      </c>
      <c r="U187" s="7">
        <f t="shared" si="8"/>
        <v>1.1245367372295315E-6</v>
      </c>
      <c r="W187" s="7" t="str">
        <f t="shared" si="9"/>
        <v>ANEMIA</v>
      </c>
    </row>
    <row r="188" spans="7:23" x14ac:dyDescent="0.25">
      <c r="G188" s="7">
        <f>_xlfn.NORM.DIST('DATA SIAP'!I187,$B$2,$B$3, FALSE)</f>
        <v>0.12657029558409025</v>
      </c>
      <c r="H188" s="7">
        <f>_xlfn.NORM.DIST('DATA SIAP'!J187,$C$2,$C$3, FALSE)</f>
        <v>8.1028568636010212E-2</v>
      </c>
      <c r="I188" s="7">
        <f>_xlfn.NORM.DIST('DATA SIAP'!K187,$D$2,$D$3, FALSE)</f>
        <v>7.5864629322429281E-2</v>
      </c>
      <c r="J188" s="7">
        <f>_xlfn.NORM.DIST('DATA SIAP'!L187,$E$2,$E$3, FALSE)</f>
        <v>2.5182191050172543E-2</v>
      </c>
      <c r="L188" s="7">
        <f>_xlfn.NORM.DIST('DATA SIAP'!I187,$B$5,$B$6, FALSE)</f>
        <v>0.12793745743646967</v>
      </c>
      <c r="M188" s="7">
        <f>_xlfn.NORM.DIST('DATA SIAP'!J187,$C$5,$C$6, FALSE)</f>
        <v>7.7797640347285577E-2</v>
      </c>
      <c r="N188" s="7">
        <f>_xlfn.NORM.DIST('DATA SIAP'!K187,$D$5,$D$6, FALSE)</f>
        <v>9.5359332080553083E-2</v>
      </c>
      <c r="O188" s="7">
        <f>_xlfn.NORM.DIST('DATA SIAP'!L187,$E$5,$E$6, FALSE)</f>
        <v>2.3707818823872639E-2</v>
      </c>
      <c r="T188" s="7">
        <f t="shared" si="7"/>
        <v>1.0624419174692261E-5</v>
      </c>
      <c r="U188" s="7">
        <f t="shared" si="8"/>
        <v>1.0300159567200652E-5</v>
      </c>
      <c r="W188" s="7" t="str">
        <f t="shared" si="9"/>
        <v>ANEMIA</v>
      </c>
    </row>
    <row r="189" spans="7:23" x14ac:dyDescent="0.25">
      <c r="G189" s="7">
        <f>_xlfn.NORM.DIST('DATA SIAP'!I188,$B$2,$B$3, FALSE)</f>
        <v>0.11112255931408969</v>
      </c>
      <c r="H189" s="7">
        <f>_xlfn.NORM.DIST('DATA SIAP'!J188,$C$2,$C$3, FALSE)</f>
        <v>8.8217960599770509E-2</v>
      </c>
      <c r="I189" s="7">
        <f>_xlfn.NORM.DIST('DATA SIAP'!K188,$D$2,$D$3, FALSE)</f>
        <v>0.28452688244841479</v>
      </c>
      <c r="J189" s="7">
        <f>_xlfn.NORM.DIST('DATA SIAP'!L188,$E$2,$E$3, FALSE)</f>
        <v>1.1588218885949374E-2</v>
      </c>
      <c r="L189" s="7">
        <f>_xlfn.NORM.DIST('DATA SIAP'!I188,$B$5,$B$6, FALSE)</f>
        <v>2.9974745226935406E-5</v>
      </c>
      <c r="M189" s="7">
        <f>_xlfn.NORM.DIST('DATA SIAP'!J188,$C$5,$C$6, FALSE)</f>
        <v>8.4254861919261834E-2</v>
      </c>
      <c r="N189" s="7">
        <f>_xlfn.NORM.DIST('DATA SIAP'!K188,$D$5,$D$6, FALSE)</f>
        <v>0.28825868193721221</v>
      </c>
      <c r="O189" s="7">
        <f>_xlfn.NORM.DIST('DATA SIAP'!L188,$E$5,$E$6, FALSE)</f>
        <v>1.3920255917731012E-2</v>
      </c>
      <c r="T189" s="7">
        <f t="shared" si="7"/>
        <v>1.7526759400893919E-5</v>
      </c>
      <c r="U189" s="7">
        <f t="shared" si="8"/>
        <v>4.6387941420988394E-9</v>
      </c>
      <c r="W189" s="7" t="str">
        <f t="shared" si="9"/>
        <v>ANEMIA</v>
      </c>
    </row>
    <row r="190" spans="7:23" x14ac:dyDescent="0.25">
      <c r="G190" s="7">
        <f>_xlfn.NORM.DIST('DATA SIAP'!I189,$B$2,$B$3, FALSE)</f>
        <v>0.13958651423065163</v>
      </c>
      <c r="H190" s="7">
        <f>_xlfn.NORM.DIST('DATA SIAP'!J189,$C$2,$C$3, FALSE)</f>
        <v>4.6132241298709742E-2</v>
      </c>
      <c r="I190" s="7">
        <f>_xlfn.NORM.DIST('DATA SIAP'!K189,$D$2,$D$3, FALSE)</f>
        <v>0.26838104088565923</v>
      </c>
      <c r="J190" s="7">
        <f>_xlfn.NORM.DIST('DATA SIAP'!L189,$E$2,$E$3, FALSE)</f>
        <v>3.8483836326366101E-2</v>
      </c>
      <c r="L190" s="7">
        <f>_xlfn.NORM.DIST('DATA SIAP'!I189,$B$5,$B$6, FALSE)</f>
        <v>0.11401573380622193</v>
      </c>
      <c r="M190" s="7">
        <f>_xlfn.NORM.DIST('DATA SIAP'!J189,$C$5,$C$6, FALSE)</f>
        <v>4.8096386670595126E-2</v>
      </c>
      <c r="N190" s="7">
        <f>_xlfn.NORM.DIST('DATA SIAP'!K189,$D$5,$D$6, FALSE)</f>
        <v>0.28924177494405268</v>
      </c>
      <c r="O190" s="7">
        <f>_xlfn.NORM.DIST('DATA SIAP'!L189,$E$5,$E$6, FALSE)</f>
        <v>3.755083697477074E-2</v>
      </c>
      <c r="T190" s="7">
        <f t="shared" si="7"/>
        <v>3.6064555990422903E-5</v>
      </c>
      <c r="U190" s="7">
        <f t="shared" si="8"/>
        <v>2.7263580381128461E-5</v>
      </c>
      <c r="W190" s="7" t="str">
        <f t="shared" si="9"/>
        <v>SEHAT</v>
      </c>
    </row>
    <row r="191" spans="7:23" x14ac:dyDescent="0.25">
      <c r="G191" s="7">
        <f>_xlfn.NORM.DIST('DATA SIAP'!I190,$B$2,$B$3, FALSE)</f>
        <v>1.2967934154064259E-3</v>
      </c>
      <c r="H191" s="7">
        <f>_xlfn.NORM.DIST('DATA SIAP'!J190,$C$2,$C$3, FALSE)</f>
        <v>3.8754809006189349E-2</v>
      </c>
      <c r="I191" s="7">
        <f>_xlfn.NORM.DIST('DATA SIAP'!K190,$D$2,$D$3, FALSE)</f>
        <v>0.17033125385914347</v>
      </c>
      <c r="J191" s="7">
        <f>_xlfn.NORM.DIST('DATA SIAP'!L190,$E$2,$E$3, FALSE)</f>
        <v>1.307867056513623E-2</v>
      </c>
      <c r="L191" s="7">
        <f>_xlfn.NORM.DIST('DATA SIAP'!I190,$B$5,$B$6, FALSE)</f>
        <v>0.24479804495420682</v>
      </c>
      <c r="M191" s="7">
        <f>_xlfn.NORM.DIST('DATA SIAP'!J190,$C$5,$C$6, FALSE)</f>
        <v>4.135712140685225E-2</v>
      </c>
      <c r="N191" s="7">
        <f>_xlfn.NORM.DIST('DATA SIAP'!K190,$D$5,$D$6, FALSE)</f>
        <v>0.13886633480617</v>
      </c>
      <c r="O191" s="7">
        <f>_xlfn.NORM.DIST('DATA SIAP'!L190,$E$5,$E$6, FALSE)</f>
        <v>1.2930321669621341E-2</v>
      </c>
      <c r="T191" s="7">
        <f t="shared" si="7"/>
        <v>6.0709509269613722E-8</v>
      </c>
      <c r="U191" s="7">
        <f t="shared" si="8"/>
        <v>8.3212690109967319E-6</v>
      </c>
      <c r="W191" s="7" t="str">
        <f t="shared" si="9"/>
        <v>SEHAT</v>
      </c>
    </row>
    <row r="192" spans="7:23" x14ac:dyDescent="0.25">
      <c r="G192" s="7">
        <f>_xlfn.NORM.DIST('DATA SIAP'!I191,$B$2,$B$3, FALSE)</f>
        <v>5.4227430483013976E-2</v>
      </c>
      <c r="H192" s="7">
        <f>_xlfn.NORM.DIST('DATA SIAP'!J191,$C$2,$C$3, FALSE)</f>
        <v>9.5278291185476691E-2</v>
      </c>
      <c r="I192" s="7">
        <f>_xlfn.NORM.DIST('DATA SIAP'!K191,$D$2,$D$3, FALSE)</f>
        <v>0.26124555659402876</v>
      </c>
      <c r="J192" s="7">
        <f>_xlfn.NORM.DIST('DATA SIAP'!L191,$E$2,$E$3, FALSE)</f>
        <v>3.1589099103884084E-2</v>
      </c>
      <c r="L192" s="7">
        <f>_xlfn.NORM.DIST('DATA SIAP'!I191,$B$5,$B$6, FALSE)</f>
        <v>0.23764944520286474</v>
      </c>
      <c r="M192" s="7">
        <f>_xlfn.NORM.DIST('DATA SIAP'!J191,$C$5,$C$6, FALSE)</f>
        <v>9.0025826669986944E-2</v>
      </c>
      <c r="N192" s="7">
        <f>_xlfn.NORM.DIST('DATA SIAP'!K191,$D$5,$D$6, FALSE)</f>
        <v>0.28477087548562913</v>
      </c>
      <c r="O192" s="7">
        <f>_xlfn.NORM.DIST('DATA SIAP'!L191,$E$5,$E$6, FALSE)</f>
        <v>2.936199935091912E-2</v>
      </c>
      <c r="T192" s="7">
        <f t="shared" si="7"/>
        <v>2.3120728788488144E-5</v>
      </c>
      <c r="U192" s="7">
        <f t="shared" si="8"/>
        <v>8.1886089209894363E-5</v>
      </c>
      <c r="W192" s="7" t="str">
        <f t="shared" si="9"/>
        <v>ANEMIA</v>
      </c>
    </row>
    <row r="193" spans="7:23" x14ac:dyDescent="0.25">
      <c r="G193" s="7">
        <f>_xlfn.NORM.DIST('DATA SIAP'!I192,$B$2,$B$3, FALSE)</f>
        <v>0.30348677398303142</v>
      </c>
      <c r="H193" s="7">
        <f>_xlfn.NORM.DIST('DATA SIAP'!J192,$C$2,$C$3, FALSE)</f>
        <v>2.0756397073274192E-2</v>
      </c>
      <c r="I193" s="7">
        <f>_xlfn.NORM.DIST('DATA SIAP'!K192,$D$2,$D$3, FALSE)</f>
        <v>0.11583575279547854</v>
      </c>
      <c r="J193" s="7">
        <f>_xlfn.NORM.DIST('DATA SIAP'!L192,$E$2,$E$3, FALSE)</f>
        <v>3.4196156201671692E-2</v>
      </c>
      <c r="L193" s="7">
        <f>_xlfn.NORM.DIST('DATA SIAP'!I192,$B$5,$B$6, FALSE)</f>
        <v>5.7836964810562405E-3</v>
      </c>
      <c r="M193" s="7">
        <f>_xlfn.NORM.DIST('DATA SIAP'!J192,$C$5,$C$6, FALSE)</f>
        <v>2.4070071205384173E-2</v>
      </c>
      <c r="N193" s="7">
        <f>_xlfn.NORM.DIST('DATA SIAP'!K192,$D$5,$D$6, FALSE)</f>
        <v>0.14202208186540324</v>
      </c>
      <c r="O193" s="7">
        <f>_xlfn.NORM.DIST('DATA SIAP'!L192,$E$5,$E$6, FALSE)</f>
        <v>3.1681553530889597E-2</v>
      </c>
      <c r="T193" s="7">
        <f t="shared" si="7"/>
        <v>1.3530505987458076E-5</v>
      </c>
      <c r="U193" s="7">
        <f t="shared" si="8"/>
        <v>2.8672807902846581E-7</v>
      </c>
      <c r="W193" s="7" t="str">
        <f t="shared" si="9"/>
        <v>SEHAT</v>
      </c>
    </row>
    <row r="194" spans="7:23" x14ac:dyDescent="0.25">
      <c r="G194" s="7">
        <f>_xlfn.NORM.DIST('DATA SIAP'!I193,$B$2,$B$3, FALSE)</f>
        <v>8.0608030606479884E-3</v>
      </c>
      <c r="H194" s="7">
        <f>_xlfn.NORM.DIST('DATA SIAP'!J193,$C$2,$C$3, FALSE)</f>
        <v>0.10260832370383424</v>
      </c>
      <c r="I194" s="7">
        <f>_xlfn.NORM.DIST('DATA SIAP'!K193,$D$2,$D$3, FALSE)</f>
        <v>0.13402998203293126</v>
      </c>
      <c r="J194" s="7">
        <f>_xlfn.NORM.DIST('DATA SIAP'!L193,$E$2,$E$3, FALSE)</f>
        <v>2.4034853209085428E-2</v>
      </c>
      <c r="L194" s="7">
        <f>_xlfn.NORM.DIST('DATA SIAP'!I193,$B$5,$B$6, FALSE)</f>
        <v>0.32443833620079482</v>
      </c>
      <c r="M194" s="7">
        <f>_xlfn.NORM.DIST('DATA SIAP'!J193,$C$5,$C$6, FALSE)</f>
        <v>9.5906469505890934E-2</v>
      </c>
      <c r="N194" s="7">
        <f>_xlfn.NORM.DIST('DATA SIAP'!K193,$D$5,$D$6, FALSE)</f>
        <v>0.10342099402218156</v>
      </c>
      <c r="O194" s="7">
        <f>_xlfn.NORM.DIST('DATA SIAP'!L193,$E$5,$E$6, FALSE)</f>
        <v>2.5671502032221176E-2</v>
      </c>
      <c r="T194" s="7">
        <f t="shared" si="7"/>
        <v>1.4447966220994141E-6</v>
      </c>
      <c r="U194" s="7">
        <f t="shared" si="8"/>
        <v>3.7815083998664039E-5</v>
      </c>
      <c r="W194" s="7" t="str">
        <f t="shared" si="9"/>
        <v>ANEMIA</v>
      </c>
    </row>
    <row r="195" spans="7:23" x14ac:dyDescent="0.25">
      <c r="G195" s="7">
        <f>_xlfn.NORM.DIST('DATA SIAP'!I194,$B$2,$B$3, FALSE)</f>
        <v>0.30151576175515343</v>
      </c>
      <c r="H195" s="7">
        <f>_xlfn.NORM.DIST('DATA SIAP'!J194,$C$2,$C$3, FALSE)</f>
        <v>9.8849018475037978E-2</v>
      </c>
      <c r="I195" s="7">
        <f>_xlfn.NORM.DIST('DATA SIAP'!K194,$D$2,$D$3, FALSE)</f>
        <v>0.26838104088565923</v>
      </c>
      <c r="J195" s="7">
        <f>_xlfn.NORM.DIST('DATA SIAP'!L194,$E$2,$E$3, FALSE)</f>
        <v>3.8887167220369286E-2</v>
      </c>
      <c r="L195" s="7">
        <f>_xlfn.NORM.DIST('DATA SIAP'!I194,$B$5,$B$6, FALSE)</f>
        <v>4.5699747438066405E-3</v>
      </c>
      <c r="M195" s="7">
        <f>_xlfn.NORM.DIST('DATA SIAP'!J194,$C$5,$C$6, FALSE)</f>
        <v>9.2645434931106399E-2</v>
      </c>
      <c r="N195" s="7">
        <f>_xlfn.NORM.DIST('DATA SIAP'!K194,$D$5,$D$6, FALSE)</f>
        <v>0.28924177494405268</v>
      </c>
      <c r="O195" s="7">
        <f>_xlfn.NORM.DIST('DATA SIAP'!L194,$E$5,$E$6, FALSE)</f>
        <v>3.5943094215870733E-2</v>
      </c>
      <c r="T195" s="7">
        <f t="shared" ref="T195:T258" si="10">$R$2 * G195 * H195 * I195 * J195</f>
        <v>1.6867196425823569E-4</v>
      </c>
      <c r="U195" s="7">
        <f t="shared" ref="U195:U258" si="11">$R$3 * L195 * M195 * N195 * O195</f>
        <v>2.0148342087362552E-6</v>
      </c>
      <c r="W195" s="7" t="str">
        <f t="shared" si="9"/>
        <v>ANEMIA</v>
      </c>
    </row>
    <row r="196" spans="7:23" x14ac:dyDescent="0.25">
      <c r="G196" s="7">
        <f>_xlfn.NORM.DIST('DATA SIAP'!I195,$B$2,$B$3, FALSE)</f>
        <v>0.16684373170249162</v>
      </c>
      <c r="H196" s="7">
        <f>_xlfn.NORM.DIST('DATA SIAP'!J195,$C$2,$C$3, FALSE)</f>
        <v>4.1459616634851038E-2</v>
      </c>
      <c r="I196" s="7">
        <f>_xlfn.NORM.DIST('DATA SIAP'!K195,$D$2,$D$3, FALSE)</f>
        <v>0.28409794666229643</v>
      </c>
      <c r="J196" s="7">
        <f>_xlfn.NORM.DIST('DATA SIAP'!L195,$E$2,$E$3, FALSE)</f>
        <v>3.2894417520284595E-2</v>
      </c>
      <c r="L196" s="7">
        <f>_xlfn.NORM.DIST('DATA SIAP'!I195,$B$5,$B$6, FALSE)</f>
        <v>8.8754245198698567E-2</v>
      </c>
      <c r="M196" s="7">
        <f>_xlfn.NORM.DIST('DATA SIAP'!J195,$C$5,$C$6, FALSE)</f>
        <v>4.3309397521866216E-2</v>
      </c>
      <c r="N196" s="7">
        <f>_xlfn.NORM.DIST('DATA SIAP'!K195,$D$5,$D$6, FALSE)</f>
        <v>0.29159869003801719</v>
      </c>
      <c r="O196" s="7">
        <f>_xlfn.NORM.DIST('DATA SIAP'!L195,$E$5,$E$6, FALSE)</f>
        <v>3.3187933659321649E-2</v>
      </c>
      <c r="T196" s="7">
        <f t="shared" si="10"/>
        <v>3.505321471027175E-5</v>
      </c>
      <c r="U196" s="7">
        <f t="shared" si="11"/>
        <v>1.702793843983867E-5</v>
      </c>
      <c r="W196" s="7" t="str">
        <f t="shared" ref="W196:W259" si="12">IF(T197&gt;U197, "ANEMIA", "SEHAT")</f>
        <v>ANEMIA</v>
      </c>
    </row>
    <row r="197" spans="7:23" x14ac:dyDescent="0.25">
      <c r="G197" s="7">
        <f>_xlfn.NORM.DIST('DATA SIAP'!I196,$B$2,$B$3, FALSE)</f>
        <v>0.30370402725352391</v>
      </c>
      <c r="H197" s="7">
        <f>_xlfn.NORM.DIST('DATA SIAP'!J196,$C$2,$C$3, FALSE)</f>
        <v>5.8658077629097465E-2</v>
      </c>
      <c r="I197" s="7">
        <f>_xlfn.NORM.DIST('DATA SIAP'!K196,$D$2,$D$3, FALSE)</f>
        <v>0.12713630690141631</v>
      </c>
      <c r="J197" s="7">
        <f>_xlfn.NORM.DIST('DATA SIAP'!L196,$E$2,$E$3, FALSE)</f>
        <v>2.8820520617336427E-2</v>
      </c>
      <c r="L197" s="7">
        <f>_xlfn.NORM.DIST('DATA SIAP'!I196,$B$5,$B$6, FALSE)</f>
        <v>7.2709962889710416E-3</v>
      </c>
      <c r="M197" s="7">
        <f>_xlfn.NORM.DIST('DATA SIAP'!J196,$C$5,$C$6, FALSE)</f>
        <v>5.8643014773348399E-2</v>
      </c>
      <c r="N197" s="7">
        <f>_xlfn.NORM.DIST('DATA SIAP'!K196,$D$5,$D$6, FALSE)</f>
        <v>0.1547817431068946</v>
      </c>
      <c r="O197" s="7">
        <f>_xlfn.NORM.DIST('DATA SIAP'!L196,$E$5,$E$6, FALSE)</f>
        <v>2.9812223849529876E-2</v>
      </c>
      <c r="T197" s="7">
        <f t="shared" si="10"/>
        <v>3.5395835746129795E-5</v>
      </c>
      <c r="U197" s="7">
        <f t="shared" si="11"/>
        <v>9.0063605880404162E-7</v>
      </c>
      <c r="W197" s="7" t="str">
        <f t="shared" si="12"/>
        <v>SEHAT</v>
      </c>
    </row>
    <row r="198" spans="7:23" x14ac:dyDescent="0.25">
      <c r="G198" s="7">
        <f>_xlfn.NORM.DIST('DATA SIAP'!I197,$B$2,$B$3, FALSE)</f>
        <v>8.0741245945897683E-2</v>
      </c>
      <c r="H198" s="7">
        <f>_xlfn.NORM.DIST('DATA SIAP'!J197,$C$2,$C$3, FALSE)</f>
        <v>0.10329739699782942</v>
      </c>
      <c r="I198" s="7">
        <f>_xlfn.NORM.DIST('DATA SIAP'!K197,$D$2,$D$3, FALSE)</f>
        <v>0.28223010825692313</v>
      </c>
      <c r="J198" s="7">
        <f>_xlfn.NORM.DIST('DATA SIAP'!L197,$E$2,$E$3, FALSE)</f>
        <v>3.238928460549062E-2</v>
      </c>
      <c r="L198" s="7">
        <f>_xlfn.NORM.DIST('DATA SIAP'!I197,$B$5,$B$6, FALSE)</f>
        <v>0.18971286532748305</v>
      </c>
      <c r="M198" s="7">
        <f>_xlfn.NORM.DIST('DATA SIAP'!J197,$C$5,$C$6, FALSE)</f>
        <v>9.6443539906064524E-2</v>
      </c>
      <c r="N198" s="7">
        <f>_xlfn.NORM.DIST('DATA SIAP'!K197,$D$5,$D$6, FALSE)</f>
        <v>0.29338304844726315</v>
      </c>
      <c r="O198" s="7">
        <f>_xlfn.NORM.DIST('DATA SIAP'!L197,$E$5,$E$6, FALSE)</f>
        <v>3.0071891244345873E-2</v>
      </c>
      <c r="T198" s="7">
        <f t="shared" si="10"/>
        <v>4.134204006488017E-5</v>
      </c>
      <c r="U198" s="7">
        <f t="shared" si="11"/>
        <v>7.3890855907025578E-5</v>
      </c>
      <c r="W198" s="7" t="str">
        <f t="shared" si="12"/>
        <v>ANEMIA</v>
      </c>
    </row>
    <row r="199" spans="7:23" x14ac:dyDescent="0.25">
      <c r="G199" s="7">
        <f>_xlfn.NORM.DIST('DATA SIAP'!I198,$B$2,$B$3, FALSE)</f>
        <v>0.29889263344341388</v>
      </c>
      <c r="H199" s="7">
        <f>_xlfn.NORM.DIST('DATA SIAP'!J198,$C$2,$C$3, FALSE)</f>
        <v>7.0291797410209786E-2</v>
      </c>
      <c r="I199" s="7">
        <f>_xlfn.NORM.DIST('DATA SIAP'!K198,$D$2,$D$3, FALSE)</f>
        <v>0.11583575279547854</v>
      </c>
      <c r="J199" s="7">
        <f>_xlfn.NORM.DIST('DATA SIAP'!L198,$E$2,$E$3, FALSE)</f>
        <v>3.746966136661474E-2</v>
      </c>
      <c r="L199" s="7">
        <f>_xlfn.NORM.DIST('DATA SIAP'!I198,$B$5,$B$6, FALSE)</f>
        <v>1.1263179024492209E-2</v>
      </c>
      <c r="M199" s="7">
        <f>_xlfn.NORM.DIST('DATA SIAP'!J198,$C$5,$C$6, FALSE)</f>
        <v>6.9248824946712695E-2</v>
      </c>
      <c r="N199" s="7">
        <f>_xlfn.NORM.DIST('DATA SIAP'!K198,$D$5,$D$6, FALSE)</f>
        <v>0.14202208186540324</v>
      </c>
      <c r="O199" s="7">
        <f>_xlfn.NORM.DIST('DATA SIAP'!L198,$E$5,$E$6, FALSE)</f>
        <v>3.4636486337803536E-2</v>
      </c>
      <c r="T199" s="7">
        <f t="shared" si="10"/>
        <v>4.9447533630697487E-5</v>
      </c>
      <c r="U199" s="7">
        <f t="shared" si="11"/>
        <v>1.7562571746897672E-6</v>
      </c>
      <c r="W199" s="7" t="str">
        <f t="shared" si="12"/>
        <v>ANEMIA</v>
      </c>
    </row>
    <row r="200" spans="7:23" x14ac:dyDescent="0.25">
      <c r="G200" s="7">
        <f>_xlfn.NORM.DIST('DATA SIAP'!I199,$B$2,$B$3, FALSE)</f>
        <v>0.14969315057709329</v>
      </c>
      <c r="H200" s="7">
        <f>_xlfn.NORM.DIST('DATA SIAP'!J199,$C$2,$C$3, FALSE)</f>
        <v>4.4612571233796555E-2</v>
      </c>
      <c r="I200" s="7">
        <f>_xlfn.NORM.DIST('DATA SIAP'!K199,$D$2,$D$3, FALSE)</f>
        <v>0.22939862492988175</v>
      </c>
      <c r="J200" s="7">
        <f>_xlfn.NORM.DIST('DATA SIAP'!L199,$E$2,$E$3, FALSE)</f>
        <v>4.2003659763094746E-2</v>
      </c>
      <c r="L200" s="7">
        <f>_xlfn.NORM.DIST('DATA SIAP'!I199,$B$5,$B$6, FALSE)</f>
        <v>8.3750476964686594E-5</v>
      </c>
      <c r="M200" s="7">
        <f>_xlfn.NORM.DIST('DATA SIAP'!J199,$C$5,$C$6, FALSE)</f>
        <v>4.6720968910653693E-2</v>
      </c>
      <c r="N200" s="7">
        <f>_xlfn.NORM.DIST('DATA SIAP'!K199,$D$5,$D$6, FALSE)</f>
        <v>0.20362742527633393</v>
      </c>
      <c r="O200" s="7">
        <f>_xlfn.NORM.DIST('DATA SIAP'!L199,$E$5,$E$6, FALSE)</f>
        <v>3.897015811231392E-2</v>
      </c>
      <c r="T200" s="7">
        <f t="shared" si="10"/>
        <v>3.4893096096499349E-5</v>
      </c>
      <c r="U200" s="7">
        <f t="shared" si="11"/>
        <v>1.4213223320930192E-8</v>
      </c>
      <c r="W200" s="7" t="str">
        <f t="shared" si="12"/>
        <v>ANEMIA</v>
      </c>
    </row>
    <row r="201" spans="7:23" x14ac:dyDescent="0.25">
      <c r="G201" s="7">
        <f>_xlfn.NORM.DIST('DATA SIAP'!I200,$B$2,$B$3, FALSE)</f>
        <v>9.9456018397713952E-2</v>
      </c>
      <c r="H201" s="7">
        <f>_xlfn.NORM.DIST('DATA SIAP'!J200,$C$2,$C$3, FALSE)</f>
        <v>9.7226722749690922E-2</v>
      </c>
      <c r="I201" s="7">
        <f>_xlfn.NORM.DIST('DATA SIAP'!K200,$D$2,$D$3, FALSE)</f>
        <v>0.17534041784492749</v>
      </c>
      <c r="J201" s="7">
        <f>_xlfn.NORM.DIST('DATA SIAP'!L200,$E$2,$E$3, FALSE)</f>
        <v>3.4446299905526168E-2</v>
      </c>
      <c r="L201" s="7">
        <f>_xlfn.NORM.DIST('DATA SIAP'!I200,$B$5,$B$6, FALSE)</f>
        <v>2.0999310805191293E-5</v>
      </c>
      <c r="M201" s="7">
        <f>_xlfn.NORM.DIST('DATA SIAP'!J200,$C$5,$C$6, FALSE)</f>
        <v>9.1603180839353024E-2</v>
      </c>
      <c r="N201" s="7">
        <f>_xlfn.NORM.DIST('DATA SIAP'!K200,$D$5,$D$6, FALSE)</f>
        <v>0.20684161907798584</v>
      </c>
      <c r="O201" s="7">
        <f>_xlfn.NORM.DIST('DATA SIAP'!L200,$E$5,$E$6, FALSE)</f>
        <v>3.190530925113011E-2</v>
      </c>
      <c r="T201" s="7">
        <f t="shared" si="10"/>
        <v>3.166968270764649E-5</v>
      </c>
      <c r="U201" s="7">
        <f t="shared" si="11"/>
        <v>5.810874491580703E-9</v>
      </c>
      <c r="W201" s="7" t="str">
        <f t="shared" si="12"/>
        <v>ANEMIA</v>
      </c>
    </row>
    <row r="202" spans="7:23" x14ac:dyDescent="0.25">
      <c r="G202" s="7">
        <f>_xlfn.NORM.DIST('DATA SIAP'!I201,$B$2,$B$3, FALSE)</f>
        <v>0.20874557925923554</v>
      </c>
      <c r="H202" s="7">
        <f>_xlfn.NORM.DIST('DATA SIAP'!J201,$C$2,$C$3, FALSE)</f>
        <v>6.0490786261897439E-2</v>
      </c>
      <c r="I202" s="7">
        <f>_xlfn.NORM.DIST('DATA SIAP'!K201,$D$2,$D$3, FALSE)</f>
        <v>0.10074504551950023</v>
      </c>
      <c r="J202" s="7">
        <f>_xlfn.NORM.DIST('DATA SIAP'!L201,$E$2,$E$3, FALSE)</f>
        <v>4.0435371298932959E-2</v>
      </c>
      <c r="L202" s="7">
        <f>_xlfn.NORM.DIST('DATA SIAP'!I201,$B$5,$B$6, FALSE)</f>
        <v>5.7976390272245056E-2</v>
      </c>
      <c r="M202" s="7">
        <f>_xlfn.NORM.DIST('DATA SIAP'!J201,$C$5,$C$6, FALSE)</f>
        <v>6.0813779137010048E-2</v>
      </c>
      <c r="N202" s="7">
        <f>_xlfn.NORM.DIST('DATA SIAP'!K201,$D$5,$D$6, FALSE)</f>
        <v>7.3356217047997774E-2</v>
      </c>
      <c r="O202" s="7">
        <f>_xlfn.NORM.DIST('DATA SIAP'!L201,$E$5,$E$6, FALSE)</f>
        <v>3.8959063740723637E-2</v>
      </c>
      <c r="T202" s="7">
        <f t="shared" si="10"/>
        <v>2.7892923135396277E-5</v>
      </c>
      <c r="U202" s="7">
        <f t="shared" si="11"/>
        <v>4.6123644362555425E-6</v>
      </c>
      <c r="W202" s="7" t="str">
        <f t="shared" si="12"/>
        <v>ANEMIA</v>
      </c>
    </row>
    <row r="203" spans="7:23" x14ac:dyDescent="0.25">
      <c r="G203" s="7">
        <f>_xlfn.NORM.DIST('DATA SIAP'!I202,$B$2,$B$3, FALSE)</f>
        <v>0.30370402725352391</v>
      </c>
      <c r="H203" s="7">
        <f>_xlfn.NORM.DIST('DATA SIAP'!J202,$C$2,$C$3, FALSE)</f>
        <v>7.5082728952878042E-2</v>
      </c>
      <c r="I203" s="7">
        <f>_xlfn.NORM.DIST('DATA SIAP'!K202,$D$2,$D$3, FALSE)</f>
        <v>0.27722454854897127</v>
      </c>
      <c r="J203" s="7">
        <f>_xlfn.NORM.DIST('DATA SIAP'!L202,$E$2,$E$3, FALSE)</f>
        <v>1.655876166838401E-2</v>
      </c>
      <c r="L203" s="7">
        <f>_xlfn.NORM.DIST('DATA SIAP'!I202,$B$5,$B$6, FALSE)</f>
        <v>7.2709962889710416E-3</v>
      </c>
      <c r="M203" s="7">
        <f>_xlfn.NORM.DIST('DATA SIAP'!J202,$C$5,$C$6, FALSE)</f>
        <v>7.3309934717952496E-2</v>
      </c>
      <c r="N203" s="7">
        <f>_xlfn.NORM.DIST('DATA SIAP'!K202,$D$5,$D$6, FALSE)</f>
        <v>0.26955695164547089</v>
      </c>
      <c r="O203" s="7">
        <f>_xlfn.NORM.DIST('DATA SIAP'!L202,$E$5,$E$6, FALSE)</f>
        <v>1.8808508090986376E-2</v>
      </c>
      <c r="T203" s="7">
        <f t="shared" si="10"/>
        <v>5.6761324508457778E-5</v>
      </c>
      <c r="U203" s="7">
        <f t="shared" si="11"/>
        <v>1.2370482882501996E-6</v>
      </c>
      <c r="W203" s="7" t="str">
        <f t="shared" si="12"/>
        <v>ANEMIA</v>
      </c>
    </row>
    <row r="204" spans="7:23" x14ac:dyDescent="0.25">
      <c r="G204" s="7">
        <f>_xlfn.NORM.DIST('DATA SIAP'!I203,$B$2,$B$3, FALSE)</f>
        <v>0.13958651423065163</v>
      </c>
      <c r="H204" s="7">
        <f>_xlfn.NORM.DIST('DATA SIAP'!J203,$C$2,$C$3, FALSE)</f>
        <v>5.8855917607667806E-2</v>
      </c>
      <c r="I204" s="7">
        <f>_xlfn.NORM.DIST('DATA SIAP'!K203,$D$2,$D$3, FALSE)</f>
        <v>0.23371301560207772</v>
      </c>
      <c r="J204" s="7">
        <f>_xlfn.NORM.DIST('DATA SIAP'!L203,$E$2,$E$3, FALSE)</f>
        <v>4.219978418989298E-2</v>
      </c>
      <c r="L204" s="7">
        <f>_xlfn.NORM.DIST('DATA SIAP'!I203,$B$5,$B$6, FALSE)</f>
        <v>0.11401573380622193</v>
      </c>
      <c r="M204" s="7">
        <f>_xlfn.NORM.DIST('DATA SIAP'!J203,$C$5,$C$6, FALSE)</f>
        <v>5.9388802980454888E-2</v>
      </c>
      <c r="N204" s="7">
        <f>_xlfn.NORM.DIST('DATA SIAP'!K203,$D$5,$D$6, FALSE)</f>
        <v>0.26307336761375211</v>
      </c>
      <c r="O204" s="7">
        <f>_xlfn.NORM.DIST('DATA SIAP'!L203,$E$5,$E$6, FALSE)</f>
        <v>3.9178660248575733E-2</v>
      </c>
      <c r="T204" s="7">
        <f t="shared" si="10"/>
        <v>4.3936869187313663E-5</v>
      </c>
      <c r="U204" s="7">
        <f t="shared" si="11"/>
        <v>3.1946319877006978E-5</v>
      </c>
      <c r="W204" s="7" t="str">
        <f t="shared" si="12"/>
        <v>SEHAT</v>
      </c>
    </row>
    <row r="205" spans="7:23" x14ac:dyDescent="0.25">
      <c r="G205" s="7">
        <f>_xlfn.NORM.DIST('DATA SIAP'!I204,$B$2,$B$3, FALSE)</f>
        <v>7.7500453168946029E-4</v>
      </c>
      <c r="H205" s="7">
        <f>_xlfn.NORM.DIST('DATA SIAP'!J204,$C$2,$C$3, FALSE)</f>
        <v>7.9529562482071894E-2</v>
      </c>
      <c r="I205" s="7">
        <f>_xlfn.NORM.DIST('DATA SIAP'!K204,$D$2,$D$3, FALSE)</f>
        <v>0.11136771953090253</v>
      </c>
      <c r="J205" s="7">
        <f>_xlfn.NORM.DIST('DATA SIAP'!L204,$E$2,$E$3, FALSE)</f>
        <v>4.3032461120609641E-2</v>
      </c>
      <c r="L205" s="7">
        <f>_xlfn.NORM.DIST('DATA SIAP'!I204,$B$5,$B$6, FALSE)</f>
        <v>0.21339991527020385</v>
      </c>
      <c r="M205" s="7">
        <f>_xlfn.NORM.DIST('DATA SIAP'!J204,$C$5,$C$6, FALSE)</f>
        <v>7.6535332316773924E-2</v>
      </c>
      <c r="N205" s="7">
        <f>_xlfn.NORM.DIST('DATA SIAP'!K204,$D$5,$D$6, FALSE)</f>
        <v>8.270172681067138E-2</v>
      </c>
      <c r="O205" s="7">
        <f>_xlfn.NORM.DIST('DATA SIAP'!L204,$E$5,$E$6, FALSE)</f>
        <v>4.0204091820371483E-2</v>
      </c>
      <c r="T205" s="7">
        <f t="shared" si="10"/>
        <v>1.6017352294634208E-7</v>
      </c>
      <c r="U205" s="7">
        <f t="shared" si="11"/>
        <v>2.485799298103899E-5</v>
      </c>
      <c r="W205" s="7" t="str">
        <f t="shared" si="12"/>
        <v>ANEMIA</v>
      </c>
    </row>
    <row r="206" spans="7:23" x14ac:dyDescent="0.25">
      <c r="G206" s="7">
        <f>_xlfn.NORM.DIST('DATA SIAP'!I205,$B$2,$B$3, FALSE)</f>
        <v>0.18082757569176874</v>
      </c>
      <c r="H206" s="7">
        <f>_xlfn.NORM.DIST('DATA SIAP'!J205,$C$2,$C$3, FALSE)</f>
        <v>4.7671367516506913E-2</v>
      </c>
      <c r="I206" s="7">
        <f>_xlfn.NORM.DIST('DATA SIAP'!K205,$D$2,$D$3, FALSE)</f>
        <v>0.23371301560207772</v>
      </c>
      <c r="J206" s="7">
        <f>_xlfn.NORM.DIST('DATA SIAP'!L205,$E$2,$E$3, FALSE)</f>
        <v>2.826078859283163E-2</v>
      </c>
      <c r="L206" s="7">
        <f>_xlfn.NORM.DIST('DATA SIAP'!I205,$B$5,$B$6, FALSE)</f>
        <v>7.752582775334832E-2</v>
      </c>
      <c r="M206" s="7">
        <f>_xlfn.NORM.DIST('DATA SIAP'!J205,$C$5,$C$6, FALSE)</f>
        <v>4.9483128589422345E-2</v>
      </c>
      <c r="N206" s="7">
        <f>_xlfn.NORM.DIST('DATA SIAP'!K205,$D$5,$D$6, FALSE)</f>
        <v>0.26307336761375211</v>
      </c>
      <c r="O206" s="7">
        <f>_xlfn.NORM.DIST('DATA SIAP'!L205,$E$5,$E$6, FALSE)</f>
        <v>2.9337548136933081E-2</v>
      </c>
      <c r="T206" s="7">
        <f t="shared" si="10"/>
        <v>3.0873923699298758E-5</v>
      </c>
      <c r="U206" s="7">
        <f t="shared" si="11"/>
        <v>1.3552807629120953E-5</v>
      </c>
      <c r="W206" s="7" t="str">
        <f t="shared" si="12"/>
        <v>SEHAT</v>
      </c>
    </row>
    <row r="207" spans="7:23" x14ac:dyDescent="0.25">
      <c r="G207" s="7">
        <f>_xlfn.NORM.DIST('DATA SIAP'!I206,$B$2,$B$3, FALSE)</f>
        <v>1.6629363345762728E-3</v>
      </c>
      <c r="H207" s="7">
        <f>_xlfn.NORM.DIST('DATA SIAP'!J206,$C$2,$C$3, FALSE)</f>
        <v>9.5278291185476691E-2</v>
      </c>
      <c r="I207" s="7">
        <f>_xlfn.NORM.DIST('DATA SIAP'!K206,$D$2,$D$3, FALSE)</f>
        <v>0.12248570720321851</v>
      </c>
      <c r="J207" s="7">
        <f>_xlfn.NORM.DIST('DATA SIAP'!L206,$E$2,$E$3, FALSE)</f>
        <v>3.8679846925826107E-2</v>
      </c>
      <c r="L207" s="7">
        <f>_xlfn.NORM.DIST('DATA SIAP'!I206,$B$5,$B$6, FALSE)</f>
        <v>0.25957322872828414</v>
      </c>
      <c r="M207" s="7">
        <f>_xlfn.NORM.DIST('DATA SIAP'!J206,$C$5,$C$6, FALSE)</f>
        <v>9.0025826669986944E-2</v>
      </c>
      <c r="N207" s="7">
        <f>_xlfn.NORM.DIST('DATA SIAP'!K206,$D$5,$D$6, FALSE)</f>
        <v>9.2733895700821981E-2</v>
      </c>
      <c r="O207" s="7">
        <f>_xlfn.NORM.DIST('DATA SIAP'!L206,$E$5,$E$6, FALSE)</f>
        <v>3.7696100400054812E-2</v>
      </c>
      <c r="T207" s="7">
        <f t="shared" si="10"/>
        <v>4.07044718107851E-7</v>
      </c>
      <c r="U207" s="7">
        <f t="shared" si="11"/>
        <v>3.7392711566050992E-5</v>
      </c>
      <c r="W207" s="7" t="str">
        <f t="shared" si="12"/>
        <v>ANEMIA</v>
      </c>
    </row>
    <row r="208" spans="7:23" x14ac:dyDescent="0.25">
      <c r="G208" s="7">
        <f>_xlfn.NORM.DIST('DATA SIAP'!I207,$B$2,$B$3, FALSE)</f>
        <v>0.30370402725352391</v>
      </c>
      <c r="H208" s="7">
        <f>_xlfn.NORM.DIST('DATA SIAP'!J207,$C$2,$C$3, FALSE)</f>
        <v>2.3677134848570851E-2</v>
      </c>
      <c r="I208" s="7">
        <f>_xlfn.NORM.DIST('DATA SIAP'!K207,$D$2,$D$3, FALSE)</f>
        <v>7.2336844110314991E-2</v>
      </c>
      <c r="J208" s="7">
        <f>_xlfn.NORM.DIST('DATA SIAP'!L207,$E$2,$E$3, FALSE)</f>
        <v>2.5724494627192313E-2</v>
      </c>
      <c r="L208" s="7">
        <f>_xlfn.NORM.DIST('DATA SIAP'!I207,$B$5,$B$6, FALSE)</f>
        <v>7.2709962889710416E-3</v>
      </c>
      <c r="M208" s="7">
        <f>_xlfn.NORM.DIST('DATA SIAP'!J207,$C$5,$C$6, FALSE)</f>
        <v>2.6562169372716077E-2</v>
      </c>
      <c r="N208" s="7">
        <f>_xlfn.NORM.DIST('DATA SIAP'!K207,$D$5,$D$6, FALSE)</f>
        <v>4.9554332509160672E-2</v>
      </c>
      <c r="O208" s="7">
        <f>_xlfn.NORM.DIST('DATA SIAP'!L207,$E$5,$E$6, FALSE)</f>
        <v>2.7154758459571125E-2</v>
      </c>
      <c r="T208" s="7">
        <f t="shared" si="10"/>
        <v>7.2558532147968193E-6</v>
      </c>
      <c r="U208" s="7">
        <f t="shared" si="11"/>
        <v>1.1896249158884308E-7</v>
      </c>
      <c r="W208" s="7" t="str">
        <f t="shared" si="12"/>
        <v>ANEMIA</v>
      </c>
    </row>
    <row r="209" spans="7:23" x14ac:dyDescent="0.25">
      <c r="G209" s="7">
        <f>_xlfn.NORM.DIST('DATA SIAP'!I208,$B$2,$B$3, FALSE)</f>
        <v>0.24488979130800856</v>
      </c>
      <c r="H209" s="7">
        <f>_xlfn.NORM.DIST('DATA SIAP'!J208,$C$2,$C$3, FALSE)</f>
        <v>4.922847934541514E-2</v>
      </c>
      <c r="I209" s="7">
        <f>_xlfn.NORM.DIST('DATA SIAP'!K208,$D$2,$D$3, FALSE)</f>
        <v>0.28223010825692313</v>
      </c>
      <c r="J209" s="7">
        <f>_xlfn.NORM.DIST('DATA SIAP'!L208,$E$2,$E$3, FALSE)</f>
        <v>3.887231974283225E-2</v>
      </c>
      <c r="L209" s="7">
        <f>_xlfn.NORM.DIST('DATA SIAP'!I208,$B$5,$B$6, FALSE)</f>
        <v>7.2875329317061859E-4</v>
      </c>
      <c r="M209" s="7">
        <f>_xlfn.NORM.DIST('DATA SIAP'!J208,$C$5,$C$6, FALSE)</f>
        <v>5.0879863812295284E-2</v>
      </c>
      <c r="N209" s="7">
        <f>_xlfn.NORM.DIST('DATA SIAP'!K208,$D$5,$D$6, FALSE)</f>
        <v>0.29338304844726315</v>
      </c>
      <c r="O209" s="7">
        <f>_xlfn.NORM.DIST('DATA SIAP'!L208,$E$5,$E$6, FALSE)</f>
        <v>3.7838035101675764E-2</v>
      </c>
      <c r="T209" s="7">
        <f t="shared" si="10"/>
        <v>7.1718844423597933E-5</v>
      </c>
      <c r="U209" s="7">
        <f t="shared" si="11"/>
        <v>1.8841482677590864E-7</v>
      </c>
      <c r="W209" s="7" t="str">
        <f t="shared" si="12"/>
        <v>SEHAT</v>
      </c>
    </row>
    <row r="210" spans="7:23" x14ac:dyDescent="0.25">
      <c r="G210" s="7">
        <f>_xlfn.NORM.DIST('DATA SIAP'!I209,$B$2,$B$3, FALSE)</f>
        <v>2.0914816537887824E-2</v>
      </c>
      <c r="H210" s="7">
        <f>_xlfn.NORM.DIST('DATA SIAP'!J209,$C$2,$C$3, FALSE)</f>
        <v>9.7226722749690922E-2</v>
      </c>
      <c r="I210" s="7">
        <f>_xlfn.NORM.DIST('DATA SIAP'!K209,$D$2,$D$3, FALSE)</f>
        <v>0.11583575279547854</v>
      </c>
      <c r="J210" s="7">
        <f>_xlfn.NORM.DIST('DATA SIAP'!L209,$E$2,$E$3, FALSE)</f>
        <v>3.6796195221948311E-2</v>
      </c>
      <c r="L210" s="7">
        <f>_xlfn.NORM.DIST('DATA SIAP'!I209,$B$5,$B$6, FALSE)</f>
        <v>0.31133554004162617</v>
      </c>
      <c r="M210" s="7">
        <f>_xlfn.NORM.DIST('DATA SIAP'!J209,$C$5,$C$6, FALSE)</f>
        <v>9.1603180839353024E-2</v>
      </c>
      <c r="N210" s="7">
        <f>_xlfn.NORM.DIST('DATA SIAP'!K209,$D$5,$D$6, FALSE)</f>
        <v>0.14202208186540324</v>
      </c>
      <c r="O210" s="7">
        <f>_xlfn.NORM.DIST('DATA SIAP'!L209,$E$5,$E$6, FALSE)</f>
        <v>3.6274184372310163E-2</v>
      </c>
      <c r="T210" s="7">
        <f t="shared" si="10"/>
        <v>4.6998892806071843E-6</v>
      </c>
      <c r="U210" s="7">
        <f t="shared" si="11"/>
        <v>6.7253950062588999E-5</v>
      </c>
      <c r="W210" s="7" t="str">
        <f t="shared" si="12"/>
        <v>ANEMIA</v>
      </c>
    </row>
    <row r="211" spans="7:23" x14ac:dyDescent="0.25">
      <c r="G211" s="7">
        <f>_xlfn.NORM.DIST('DATA SIAP'!I210,$B$2,$B$3, FALSE)</f>
        <v>0.24488979130800856</v>
      </c>
      <c r="H211" s="7">
        <f>_xlfn.NORM.DIST('DATA SIAP'!J210,$C$2,$C$3, FALSE)</f>
        <v>5.5604406649278744E-2</v>
      </c>
      <c r="I211" s="7">
        <f>_xlfn.NORM.DIST('DATA SIAP'!K210,$D$2,$D$3, FALSE)</f>
        <v>0.19972434609323236</v>
      </c>
      <c r="J211" s="7">
        <f>_xlfn.NORM.DIST('DATA SIAP'!L210,$E$2,$E$3, FALSE)</f>
        <v>8.9660844682620949E-3</v>
      </c>
      <c r="L211" s="7">
        <f>_xlfn.NORM.DIST('DATA SIAP'!I210,$B$5,$B$6, FALSE)</f>
        <v>7.2875329317061859E-4</v>
      </c>
      <c r="M211" s="7">
        <f>_xlfn.NORM.DIST('DATA SIAP'!J210,$C$5,$C$6, FALSE)</f>
        <v>5.653820300999654E-2</v>
      </c>
      <c r="N211" s="7">
        <f>_xlfn.NORM.DIST('DATA SIAP'!K210,$D$5,$D$6, FALSE)</f>
        <v>0.23145932521706172</v>
      </c>
      <c r="O211" s="7">
        <f>_xlfn.NORM.DIST('DATA SIAP'!L210,$E$5,$E$6, FALSE)</f>
        <v>1.1199979339975748E-2</v>
      </c>
      <c r="T211" s="7">
        <f t="shared" si="10"/>
        <v>1.3222577056209198E-5</v>
      </c>
      <c r="U211" s="7">
        <f t="shared" si="11"/>
        <v>4.8892185147793797E-8</v>
      </c>
      <c r="W211" s="7" t="str">
        <f t="shared" si="12"/>
        <v>SEHAT</v>
      </c>
    </row>
    <row r="212" spans="7:23" x14ac:dyDescent="0.25">
      <c r="G212" s="7">
        <f>_xlfn.NORM.DIST('DATA SIAP'!I211,$B$2,$B$3, FALSE)</f>
        <v>1.2010622387859344E-2</v>
      </c>
      <c r="H212" s="7">
        <f>_xlfn.NORM.DIST('DATA SIAP'!J211,$C$2,$C$3, FALSE)</f>
        <v>3.1855631605259553E-2</v>
      </c>
      <c r="I212" s="7">
        <f>_xlfn.NORM.DIST('DATA SIAP'!K211,$D$2,$D$3, FALSE)</f>
        <v>0.26838104088565923</v>
      </c>
      <c r="J212" s="7">
        <f>_xlfn.NORM.DIST('DATA SIAP'!L211,$E$2,$E$3, FALSE)</f>
        <v>1.1998366878669313E-2</v>
      </c>
      <c r="L212" s="7">
        <f>_xlfn.NORM.DIST('DATA SIAP'!I211,$B$5,$B$6, FALSE)</f>
        <v>0.3255971339791599</v>
      </c>
      <c r="M212" s="7">
        <f>_xlfn.NORM.DIST('DATA SIAP'!J211,$C$5,$C$6, FALSE)</f>
        <v>3.4410630840384711E-2</v>
      </c>
      <c r="N212" s="7">
        <f>_xlfn.NORM.DIST('DATA SIAP'!K211,$D$5,$D$6, FALSE)</f>
        <v>0.28924177494405268</v>
      </c>
      <c r="O212" s="7">
        <f>_xlfn.NORM.DIST('DATA SIAP'!L211,$E$5,$E$6, FALSE)</f>
        <v>1.4335827284894914E-2</v>
      </c>
      <c r="T212" s="7">
        <f t="shared" si="10"/>
        <v>6.6807940585912662E-7</v>
      </c>
      <c r="U212" s="7">
        <f t="shared" si="11"/>
        <v>2.1265813370145244E-5</v>
      </c>
      <c r="W212" s="7" t="str">
        <f t="shared" si="12"/>
        <v>SEHAT</v>
      </c>
    </row>
    <row r="213" spans="7:23" x14ac:dyDescent="0.25">
      <c r="G213" s="7">
        <f>_xlfn.NORM.DIST('DATA SIAP'!I212,$B$2,$B$3, FALSE)</f>
        <v>0.11410407611236259</v>
      </c>
      <c r="H213" s="7">
        <f>_xlfn.NORM.DIST('DATA SIAP'!J212,$C$2,$C$3, FALSE)</f>
        <v>6.1930288321728387E-2</v>
      </c>
      <c r="I213" s="7">
        <f>_xlfn.NORM.DIST('DATA SIAP'!K212,$D$2,$D$3, FALSE)</f>
        <v>0.19972434609323236</v>
      </c>
      <c r="J213" s="7">
        <f>_xlfn.NORM.DIST('DATA SIAP'!L212,$E$2,$E$3, FALSE)</f>
        <v>2.826078859283163E-2</v>
      </c>
      <c r="L213" s="7">
        <f>_xlfn.NORM.DIST('DATA SIAP'!I212,$B$5,$B$6, FALSE)</f>
        <v>0.14260257889943467</v>
      </c>
      <c r="M213" s="7">
        <f>_xlfn.NORM.DIST('DATA SIAP'!J212,$C$5,$C$6, FALSE)</f>
        <v>6.1492612070584686E-2</v>
      </c>
      <c r="N213" s="7">
        <f>_xlfn.NORM.DIST('DATA SIAP'!K212,$D$5,$D$6, FALSE)</f>
        <v>0.23145932521706172</v>
      </c>
      <c r="O213" s="7">
        <f>_xlfn.NORM.DIST('DATA SIAP'!L212,$E$5,$E$6, FALSE)</f>
        <v>2.9337548136933081E-2</v>
      </c>
      <c r="T213" s="7">
        <f t="shared" si="10"/>
        <v>2.1628277136171878E-5</v>
      </c>
      <c r="U213" s="7">
        <f t="shared" si="11"/>
        <v>2.7256734950425505E-5</v>
      </c>
      <c r="W213" s="7" t="str">
        <f t="shared" si="12"/>
        <v>ANEMIA</v>
      </c>
    </row>
    <row r="214" spans="7:23" x14ac:dyDescent="0.25">
      <c r="G214" s="7">
        <f>_xlfn.NORM.DIST('DATA SIAP'!I213,$B$2,$B$3, FALSE)</f>
        <v>0.12657029558409025</v>
      </c>
      <c r="H214" s="7">
        <f>_xlfn.NORM.DIST('DATA SIAP'!J213,$C$2,$C$3, FALSE)</f>
        <v>4.0009173504538843E-2</v>
      </c>
      <c r="I214" s="7">
        <f>_xlfn.NORM.DIST('DATA SIAP'!K213,$D$2,$D$3, FALSE)</f>
        <v>0.18263025300630079</v>
      </c>
      <c r="J214" s="7">
        <f>_xlfn.NORM.DIST('DATA SIAP'!L213,$E$2,$E$3, FALSE)</f>
        <v>4.300270231425251E-2</v>
      </c>
      <c r="L214" s="7">
        <f>_xlfn.NORM.DIST('DATA SIAP'!I213,$B$5,$B$6, FALSE)</f>
        <v>0.12793745743646967</v>
      </c>
      <c r="M214" s="7">
        <f>_xlfn.NORM.DIST('DATA SIAP'!J213,$C$5,$C$6, FALSE)</f>
        <v>4.1983625779858522E-2</v>
      </c>
      <c r="N214" s="7">
        <f>_xlfn.NORM.DIST('DATA SIAP'!K213,$D$5,$D$6, FALSE)</f>
        <v>0.15154872267578176</v>
      </c>
      <c r="O214" s="7">
        <f>_xlfn.NORM.DIST('DATA SIAP'!L213,$E$5,$E$6, FALSE)</f>
        <v>4.0452616403651054E-2</v>
      </c>
      <c r="T214" s="7">
        <f t="shared" si="10"/>
        <v>2.1565633665627075E-5</v>
      </c>
      <c r="U214" s="7">
        <f t="shared" si="11"/>
        <v>1.5073064814188152E-5</v>
      </c>
      <c r="W214" s="7" t="str">
        <f t="shared" si="12"/>
        <v>ANEMIA</v>
      </c>
    </row>
    <row r="215" spans="7:23" x14ac:dyDescent="0.25">
      <c r="G215" s="7">
        <f>_xlfn.NORM.DIST('DATA SIAP'!I214,$B$2,$B$3, FALSE)</f>
        <v>0.29889263344341388</v>
      </c>
      <c r="H215" s="7">
        <f>_xlfn.NORM.DIST('DATA SIAP'!J214,$C$2,$C$3, FALSE)</f>
        <v>5.0802020562053983E-2</v>
      </c>
      <c r="I215" s="7">
        <f>_xlfn.NORM.DIST('DATA SIAP'!K214,$D$2,$D$3, FALSE)</f>
        <v>0.18761229391009854</v>
      </c>
      <c r="J215" s="7">
        <f>_xlfn.NORM.DIST('DATA SIAP'!L214,$E$2,$E$3, FALSE)</f>
        <v>4.1890225214084913E-2</v>
      </c>
      <c r="L215" s="7">
        <f>_xlfn.NORM.DIST('DATA SIAP'!I214,$B$5,$B$6, FALSE)</f>
        <v>1.1263179024492209E-2</v>
      </c>
      <c r="M215" s="7">
        <f>_xlfn.NORM.DIST('DATA SIAP'!J214,$C$5,$C$6, FALSE)</f>
        <v>5.2285205611031955E-2</v>
      </c>
      <c r="N215" s="7">
        <f>_xlfn.NORM.DIST('DATA SIAP'!K214,$D$5,$D$6, FALSE)</f>
        <v>0.21939825426614995</v>
      </c>
      <c r="O215" s="7">
        <f>_xlfn.NORM.DIST('DATA SIAP'!L214,$E$5,$E$6, FALSE)</f>
        <v>3.9920346542055694E-2</v>
      </c>
      <c r="T215" s="7">
        <f t="shared" si="10"/>
        <v>6.4710173911384028E-5</v>
      </c>
      <c r="U215" s="7">
        <f t="shared" si="11"/>
        <v>2.3609799006766873E-6</v>
      </c>
      <c r="W215" s="7" t="str">
        <f t="shared" si="12"/>
        <v>SEHAT</v>
      </c>
    </row>
    <row r="216" spans="7:23" x14ac:dyDescent="0.25">
      <c r="G216" s="7">
        <f>_xlfn.NORM.DIST('DATA SIAP'!I215,$B$2,$B$3, FALSE)</f>
        <v>6.5464560736304186E-3</v>
      </c>
      <c r="H216" s="7">
        <f>_xlfn.NORM.DIST('DATA SIAP'!J215,$C$2,$C$3, FALSE)</f>
        <v>0.10255777641540727</v>
      </c>
      <c r="I216" s="7">
        <f>_xlfn.NORM.DIST('DATA SIAP'!K215,$D$2,$D$3, FALSE)</f>
        <v>0.20677634266355821</v>
      </c>
      <c r="J216" s="7">
        <f>_xlfn.NORM.DIST('DATA SIAP'!L215,$E$2,$E$3, FALSE)</f>
        <v>1.2014523706499084E-2</v>
      </c>
      <c r="L216" s="7">
        <f>_xlfn.NORM.DIST('DATA SIAP'!I215,$B$5,$B$6, FALSE)</f>
        <v>0.32062919492472447</v>
      </c>
      <c r="M216" s="7">
        <f>_xlfn.NORM.DIST('DATA SIAP'!J215,$C$5,$C$6, FALSE)</f>
        <v>9.5729268587055869E-2</v>
      </c>
      <c r="N216" s="7">
        <f>_xlfn.NORM.DIST('DATA SIAP'!K215,$D$5,$D$6, FALSE)</f>
        <v>0.17758313678314452</v>
      </c>
      <c r="O216" s="7">
        <f>_xlfn.NORM.DIST('DATA SIAP'!L215,$E$5,$E$6, FALSE)</f>
        <v>1.1961774054145087E-2</v>
      </c>
      <c r="T216" s="7">
        <f t="shared" si="10"/>
        <v>9.0445016709403034E-7</v>
      </c>
      <c r="U216" s="7">
        <f t="shared" si="11"/>
        <v>2.9844900497050791E-5</v>
      </c>
      <c r="W216" s="7" t="str">
        <f t="shared" si="12"/>
        <v>ANEMIA</v>
      </c>
    </row>
    <row r="217" spans="7:23" x14ac:dyDescent="0.25">
      <c r="G217" s="7">
        <f>_xlfn.NORM.DIST('DATA SIAP'!I216,$B$2,$B$3, FALSE)</f>
        <v>0.29889263344341388</v>
      </c>
      <c r="H217" s="7">
        <f>_xlfn.NORM.DIST('DATA SIAP'!J216,$C$2,$C$3, FALSE)</f>
        <v>3.3144951896646423E-2</v>
      </c>
      <c r="I217" s="7">
        <f>_xlfn.NORM.DIST('DATA SIAP'!K216,$D$2,$D$3, FALSE)</f>
        <v>0.13883118035487624</v>
      </c>
      <c r="J217" s="7">
        <f>_xlfn.NORM.DIST('DATA SIAP'!L216,$E$2,$E$3, FALSE)</f>
        <v>4.2731426214278903E-2</v>
      </c>
      <c r="L217" s="7">
        <f>_xlfn.NORM.DIST('DATA SIAP'!I216,$B$5,$B$6, FALSE)</f>
        <v>1.1263179024492209E-2</v>
      </c>
      <c r="M217" s="7">
        <f>_xlfn.NORM.DIST('DATA SIAP'!J216,$C$5,$C$6, FALSE)</f>
        <v>3.5622983840056598E-2</v>
      </c>
      <c r="N217" s="7">
        <f>_xlfn.NORM.DIST('DATA SIAP'!K216,$D$5,$D$6, FALSE)</f>
        <v>0.16777601234596373</v>
      </c>
      <c r="O217" s="7">
        <f>_xlfn.NORM.DIST('DATA SIAP'!L216,$E$5,$E$6, FALSE)</f>
        <v>4.0376540915064062E-2</v>
      </c>
      <c r="T217" s="7">
        <f t="shared" si="10"/>
        <v>3.186906996103145E-5</v>
      </c>
      <c r="U217" s="7">
        <f t="shared" si="11"/>
        <v>1.2441572400504455E-6</v>
      </c>
      <c r="W217" s="7" t="str">
        <f t="shared" si="12"/>
        <v>ANEMIA</v>
      </c>
    </row>
    <row r="218" spans="7:23" x14ac:dyDescent="0.25">
      <c r="G218" s="7">
        <f>_xlfn.NORM.DIST('DATA SIAP'!I217,$B$2,$B$3, FALSE)</f>
        <v>0.16341699682690056</v>
      </c>
      <c r="H218" s="7">
        <f>_xlfn.NORM.DIST('DATA SIAP'!J217,$C$2,$C$3, FALSE)</f>
        <v>2.4752555115584038E-2</v>
      </c>
      <c r="I218" s="7">
        <f>_xlfn.NORM.DIST('DATA SIAP'!K217,$D$2,$D$3, FALSE)</f>
        <v>7.2336844110314991E-2</v>
      </c>
      <c r="J218" s="7">
        <f>_xlfn.NORM.DIST('DATA SIAP'!L217,$E$2,$E$3, FALSE)</f>
        <v>4.1036252468174328E-2</v>
      </c>
      <c r="L218" s="7">
        <f>_xlfn.NORM.DIST('DATA SIAP'!I217,$B$5,$B$6, FALSE)</f>
        <v>1.1639241761785992E-4</v>
      </c>
      <c r="M218" s="7">
        <f>_xlfn.NORM.DIST('DATA SIAP'!J217,$C$5,$C$6, FALSE)</f>
        <v>2.761166338920696E-2</v>
      </c>
      <c r="N218" s="7">
        <f>_xlfn.NORM.DIST('DATA SIAP'!K217,$D$5,$D$6, FALSE)</f>
        <v>4.9554332509160672E-2</v>
      </c>
      <c r="O218" s="7">
        <f>_xlfn.NORM.DIST('DATA SIAP'!L217,$E$5,$E$6, FALSE)</f>
        <v>3.7990618816721826E-2</v>
      </c>
      <c r="T218" s="7">
        <f t="shared" si="10"/>
        <v>6.5109879665383476E-6</v>
      </c>
      <c r="U218" s="7">
        <f t="shared" si="11"/>
        <v>2.7694929886693468E-9</v>
      </c>
      <c r="W218" s="7" t="str">
        <f t="shared" si="12"/>
        <v>ANEMIA</v>
      </c>
    </row>
    <row r="219" spans="7:23" x14ac:dyDescent="0.25">
      <c r="G219" s="7">
        <f>_xlfn.NORM.DIST('DATA SIAP'!I218,$B$2,$B$3, FALSE)</f>
        <v>0.30216375232280629</v>
      </c>
      <c r="H219" s="7">
        <f>_xlfn.NORM.DIST('DATA SIAP'!J218,$C$2,$C$3, FALSE)</f>
        <v>6.5406519901978571E-2</v>
      </c>
      <c r="I219" s="7">
        <f>_xlfn.NORM.DIST('DATA SIAP'!K218,$D$2,$D$3, FALSE)</f>
        <v>0.12248570720321851</v>
      </c>
      <c r="J219" s="7">
        <f>_xlfn.NORM.DIST('DATA SIAP'!L218,$E$2,$E$3, FALSE)</f>
        <v>4.1172760833596903E-2</v>
      </c>
      <c r="L219" s="7">
        <f>_xlfn.NORM.DIST('DATA SIAP'!I218,$B$5,$B$6, FALSE)</f>
        <v>9.0798586436414176E-3</v>
      </c>
      <c r="M219" s="7">
        <f>_xlfn.NORM.DIST('DATA SIAP'!J218,$C$5,$C$6, FALSE)</f>
        <v>6.5066702086767389E-2</v>
      </c>
      <c r="N219" s="7">
        <f>_xlfn.NORM.DIST('DATA SIAP'!K218,$D$5,$D$6, FALSE)</f>
        <v>9.2733895700821981E-2</v>
      </c>
      <c r="O219" s="7">
        <f>_xlfn.NORM.DIST('DATA SIAP'!L218,$E$5,$E$6, FALSE)</f>
        <v>3.8125419473523096E-2</v>
      </c>
      <c r="T219" s="7">
        <f t="shared" si="10"/>
        <v>5.4045705639665313E-5</v>
      </c>
      <c r="U219" s="7">
        <f t="shared" si="11"/>
        <v>9.5612798556572041E-7</v>
      </c>
      <c r="W219" s="7" t="str">
        <f t="shared" si="12"/>
        <v>ANEMIA</v>
      </c>
    </row>
    <row r="220" spans="7:23" x14ac:dyDescent="0.25">
      <c r="G220" s="7">
        <f>_xlfn.NORM.DIST('DATA SIAP'!I219,$B$2,$B$3, FALSE)</f>
        <v>0.20533799040714429</v>
      </c>
      <c r="H220" s="7">
        <f>_xlfn.NORM.DIST('DATA SIAP'!J219,$C$2,$C$3, FALSE)</f>
        <v>9.0756897818902435E-2</v>
      </c>
      <c r="I220" s="7">
        <f>_xlfn.NORM.DIST('DATA SIAP'!K219,$D$2,$D$3, FALSE)</f>
        <v>0.12248570720321851</v>
      </c>
      <c r="J220" s="7">
        <f>_xlfn.NORM.DIST('DATA SIAP'!L219,$E$2,$E$3, FALSE)</f>
        <v>1.3297897480871283E-2</v>
      </c>
      <c r="L220" s="7">
        <f>_xlfn.NORM.DIST('DATA SIAP'!I219,$B$5,$B$6, FALSE)</f>
        <v>3.0013545453784864E-4</v>
      </c>
      <c r="M220" s="7">
        <f>_xlfn.NORM.DIST('DATA SIAP'!J219,$C$5,$C$6, FALSE)</f>
        <v>8.6339459663688722E-2</v>
      </c>
      <c r="N220" s="7">
        <f>_xlfn.NORM.DIST('DATA SIAP'!K219,$D$5,$D$6, FALSE)</f>
        <v>9.2733895700821981E-2</v>
      </c>
      <c r="O220" s="7">
        <f>_xlfn.NORM.DIST('DATA SIAP'!L219,$E$5,$E$6, FALSE)</f>
        <v>1.3129195485653162E-2</v>
      </c>
      <c r="T220" s="7">
        <f t="shared" si="10"/>
        <v>1.6459617002533744E-5</v>
      </c>
      <c r="U220" s="7">
        <f t="shared" si="11"/>
        <v>1.4442030539846613E-8</v>
      </c>
      <c r="W220" s="7" t="str">
        <f t="shared" si="12"/>
        <v>SEHAT</v>
      </c>
    </row>
    <row r="221" spans="7:23" x14ac:dyDescent="0.25">
      <c r="G221" s="7">
        <f>_xlfn.NORM.DIST('DATA SIAP'!I220,$B$2,$B$3, FALSE)</f>
        <v>4.2433147805415582E-3</v>
      </c>
      <c r="H221" s="7">
        <f>_xlfn.NORM.DIST('DATA SIAP'!J220,$C$2,$C$3, FALSE)</f>
        <v>2.3805817976595704E-2</v>
      </c>
      <c r="I221" s="7">
        <f>_xlfn.NORM.DIST('DATA SIAP'!K220,$D$2,$D$3, FALSE)</f>
        <v>0.26124555659402876</v>
      </c>
      <c r="J221" s="7">
        <f>_xlfn.NORM.DIST('DATA SIAP'!L220,$E$2,$E$3, FALSE)</f>
        <v>1.5583619986917298E-2</v>
      </c>
      <c r="L221" s="7">
        <f>_xlfn.NORM.DIST('DATA SIAP'!I220,$B$5,$B$6, FALSE)</f>
        <v>0.30692698152080589</v>
      </c>
      <c r="M221" s="7">
        <f>_xlfn.NORM.DIST('DATA SIAP'!J220,$C$5,$C$6, FALSE)</f>
        <v>2.7108053792358363E-2</v>
      </c>
      <c r="N221" s="7">
        <f>_xlfn.NORM.DIST('DATA SIAP'!K220,$D$5,$D$6, FALSE)</f>
        <v>0.28477087548562913</v>
      </c>
      <c r="O221" s="7">
        <f>_xlfn.NORM.DIST('DATA SIAP'!L220,$E$5,$E$6, FALSE)</f>
        <v>1.7872979172541357E-2</v>
      </c>
      <c r="T221" s="7">
        <f t="shared" si="10"/>
        <v>2.2300161134676975E-7</v>
      </c>
      <c r="U221" s="7">
        <f t="shared" si="11"/>
        <v>1.9384336445571126E-5</v>
      </c>
      <c r="W221" s="7" t="str">
        <f t="shared" si="12"/>
        <v>ANEMIA</v>
      </c>
    </row>
    <row r="222" spans="7:23" x14ac:dyDescent="0.25">
      <c r="G222" s="7">
        <f>_xlfn.NORM.DIST('DATA SIAP'!I221,$B$2,$B$3, FALSE)</f>
        <v>0.12343957965000014</v>
      </c>
      <c r="H222" s="7">
        <f>_xlfn.NORM.DIST('DATA SIAP'!J221,$C$2,$C$3, FALSE)</f>
        <v>0.10369262057512099</v>
      </c>
      <c r="I222" s="7">
        <f>_xlfn.NORM.DIST('DATA SIAP'!K221,$D$2,$D$3, FALSE)</f>
        <v>0.11136771953090253</v>
      </c>
      <c r="J222" s="7">
        <f>_xlfn.NORM.DIST('DATA SIAP'!L221,$E$2,$E$3, FALSE)</f>
        <v>4.2736088859034703E-2</v>
      </c>
      <c r="L222" s="7">
        <f>_xlfn.NORM.DIST('DATA SIAP'!I221,$B$5,$B$6, FALSE)</f>
        <v>4.2501347029991324E-5</v>
      </c>
      <c r="M222" s="7">
        <f>_xlfn.NORM.DIST('DATA SIAP'!J221,$C$5,$C$6, FALSE)</f>
        <v>9.669566850487403E-2</v>
      </c>
      <c r="N222" s="7">
        <f>_xlfn.NORM.DIST('DATA SIAP'!K221,$D$5,$D$6, FALSE)</f>
        <v>8.270172681067138E-2</v>
      </c>
      <c r="O222" s="7">
        <f>_xlfn.NORM.DIST('DATA SIAP'!L221,$E$5,$E$6, FALSE)</f>
        <v>3.9788167204818571E-2</v>
      </c>
      <c r="T222" s="7">
        <f t="shared" si="10"/>
        <v>3.3033817542698253E-5</v>
      </c>
      <c r="U222" s="7">
        <f t="shared" si="11"/>
        <v>6.1901794514566217E-9</v>
      </c>
      <c r="W222" s="7" t="str">
        <f t="shared" si="12"/>
        <v>SEHAT</v>
      </c>
    </row>
    <row r="223" spans="7:23" x14ac:dyDescent="0.25">
      <c r="G223" s="7">
        <f>_xlfn.NORM.DIST('DATA SIAP'!I222,$B$2,$B$3, FALSE)</f>
        <v>9.8680512350186426E-3</v>
      </c>
      <c r="H223" s="7">
        <f>_xlfn.NORM.DIST('DATA SIAP'!J222,$C$2,$C$3, FALSE)</f>
        <v>4.0009173504538843E-2</v>
      </c>
      <c r="I223" s="7">
        <f>_xlfn.NORM.DIST('DATA SIAP'!K222,$D$2,$D$3, FALSE)</f>
        <v>0.28409794666229643</v>
      </c>
      <c r="J223" s="7">
        <f>_xlfn.NORM.DIST('DATA SIAP'!L222,$E$2,$E$3, FALSE)</f>
        <v>1.0036166389547208E-2</v>
      </c>
      <c r="L223" s="7">
        <f>_xlfn.NORM.DIST('DATA SIAP'!I222,$B$5,$B$6, FALSE)</f>
        <v>0.3261054086214823</v>
      </c>
      <c r="M223" s="7">
        <f>_xlfn.NORM.DIST('DATA SIAP'!J222,$C$5,$C$6, FALSE)</f>
        <v>4.1983625779858522E-2</v>
      </c>
      <c r="N223" s="7">
        <f>_xlfn.NORM.DIST('DATA SIAP'!K222,$D$5,$D$6, FALSE)</f>
        <v>0.29159869003801719</v>
      </c>
      <c r="O223" s="7">
        <f>_xlfn.NORM.DIST('DATA SIAP'!L222,$E$5,$E$6, FALSE)</f>
        <v>1.232420488663989E-2</v>
      </c>
      <c r="T223" s="7">
        <f t="shared" si="10"/>
        <v>6.1042077249535734E-7</v>
      </c>
      <c r="U223" s="7">
        <f t="shared" si="11"/>
        <v>2.2522024926883185E-5</v>
      </c>
      <c r="W223" s="7" t="str">
        <f t="shared" si="12"/>
        <v>ANEMIA</v>
      </c>
    </row>
    <row r="224" spans="7:23" x14ac:dyDescent="0.25">
      <c r="G224" s="7">
        <f>_xlfn.NORM.DIST('DATA SIAP'!I223,$B$2,$B$3, FALSE)</f>
        <v>0.27720518307710384</v>
      </c>
      <c r="H224" s="7">
        <f>_xlfn.NORM.DIST('DATA SIAP'!J223,$C$2,$C$3, FALSE)</f>
        <v>0.10298716609708776</v>
      </c>
      <c r="I224" s="7">
        <f>_xlfn.NORM.DIST('DATA SIAP'!K223,$D$2,$D$3, FALSE)</f>
        <v>7.5864629322429281E-2</v>
      </c>
      <c r="J224" s="7">
        <f>_xlfn.NORM.DIST('DATA SIAP'!L223,$E$2,$E$3, FALSE)</f>
        <v>3.2124077137375397E-2</v>
      </c>
      <c r="L224" s="7">
        <f>_xlfn.NORM.DIST('DATA SIAP'!I223,$B$5,$B$6, FALSE)</f>
        <v>1.666151072771268E-3</v>
      </c>
      <c r="M224" s="7">
        <f>_xlfn.NORM.DIST('DATA SIAP'!J223,$C$5,$C$6, FALSE)</f>
        <v>9.6202969642376596E-2</v>
      </c>
      <c r="N224" s="7">
        <f>_xlfn.NORM.DIST('DATA SIAP'!K223,$D$5,$D$6, FALSE)</f>
        <v>9.5359332080553083E-2</v>
      </c>
      <c r="O224" s="7">
        <f>_xlfn.NORM.DIST('DATA SIAP'!L223,$E$5,$E$6, FALSE)</f>
        <v>2.9836441390222044E-2</v>
      </c>
      <c r="T224" s="7">
        <f t="shared" si="10"/>
        <v>3.7727396395380549E-5</v>
      </c>
      <c r="U224" s="7">
        <f t="shared" si="11"/>
        <v>2.0875557928901646E-7</v>
      </c>
      <c r="W224" s="7" t="str">
        <f t="shared" si="12"/>
        <v>SEHAT</v>
      </c>
    </row>
    <row r="225" spans="7:23" x14ac:dyDescent="0.25">
      <c r="G225" s="7">
        <f>_xlfn.NORM.DIST('DATA SIAP'!I224,$B$2,$B$3, FALSE)</f>
        <v>5.2858549075253704E-3</v>
      </c>
      <c r="H225" s="7">
        <f>_xlfn.NORM.DIST('DATA SIAP'!J224,$C$2,$C$3, FALSE)</f>
        <v>5.061046720391453E-2</v>
      </c>
      <c r="I225" s="7">
        <f>_xlfn.NORM.DIST('DATA SIAP'!K224,$D$2,$D$3, FALSE)</f>
        <v>0.14591803167133907</v>
      </c>
      <c r="J225" s="7">
        <f>_xlfn.NORM.DIST('DATA SIAP'!L224,$E$2,$E$3, FALSE)</f>
        <v>1.73087372448638E-2</v>
      </c>
      <c r="L225" s="7">
        <f>_xlfn.NORM.DIST('DATA SIAP'!I224,$B$5,$B$6, FALSE)</f>
        <v>0.31475359474046671</v>
      </c>
      <c r="M225" s="7">
        <f>_xlfn.NORM.DIST('DATA SIAP'!J224,$C$5,$C$6, FALSE)</f>
        <v>5.1549117452228205E-2</v>
      </c>
      <c r="N225" s="7">
        <f>_xlfn.NORM.DIST('DATA SIAP'!K224,$D$5,$D$6, FALSE)</f>
        <v>0.11471631470308251</v>
      </c>
      <c r="O225" s="7">
        <f>_xlfn.NORM.DIST('DATA SIAP'!L224,$E$5,$E$6, FALSE)</f>
        <v>1.9521066169382879E-2</v>
      </c>
      <c r="T225" s="7">
        <f t="shared" si="10"/>
        <v>3.663804679851922E-7</v>
      </c>
      <c r="U225" s="7">
        <f t="shared" si="11"/>
        <v>1.6632045547567111E-5</v>
      </c>
      <c r="W225" s="7" t="str">
        <f t="shared" si="12"/>
        <v>ANEMIA</v>
      </c>
    </row>
    <row r="226" spans="7:23" x14ac:dyDescent="0.25">
      <c r="G226" s="7">
        <f>_xlfn.NORM.DIST('DATA SIAP'!I225,$B$2,$B$3, FALSE)</f>
        <v>0.26753262994835175</v>
      </c>
      <c r="H226" s="7">
        <f>_xlfn.NORM.DIST('DATA SIAP'!J225,$C$2,$C$3, FALSE)</f>
        <v>3.7183086812751821E-2</v>
      </c>
      <c r="I226" s="7">
        <f>_xlfn.NORM.DIST('DATA SIAP'!K225,$D$2,$D$3, FALSE)</f>
        <v>0.14591803167133907</v>
      </c>
      <c r="J226" s="7">
        <f>_xlfn.NORM.DIST('DATA SIAP'!L225,$E$2,$E$3, FALSE)</f>
        <v>3.2632391932211145E-2</v>
      </c>
      <c r="L226" s="7">
        <f>_xlfn.NORM.DIST('DATA SIAP'!I225,$B$5,$B$6, FALSE)</f>
        <v>1.2732285241197699E-3</v>
      </c>
      <c r="M226" s="7">
        <f>_xlfn.NORM.DIST('DATA SIAP'!J225,$C$5,$C$6, FALSE)</f>
        <v>3.9382910875762123E-2</v>
      </c>
      <c r="N226" s="7">
        <f>_xlfn.NORM.DIST('DATA SIAP'!K225,$D$5,$D$6, FALSE)</f>
        <v>0.11471631470308251</v>
      </c>
      <c r="O226" s="7">
        <f>_xlfn.NORM.DIST('DATA SIAP'!L225,$E$5,$E$6, FALSE)</f>
        <v>3.2975171777850483E-2</v>
      </c>
      <c r="T226" s="7">
        <f t="shared" si="10"/>
        <v>2.5685170406581307E-5</v>
      </c>
      <c r="U226" s="7">
        <f t="shared" si="11"/>
        <v>8.6826328643267404E-8</v>
      </c>
      <c r="W226" s="7" t="str">
        <f t="shared" si="12"/>
        <v>SEHAT</v>
      </c>
    </row>
    <row r="227" spans="7:23" x14ac:dyDescent="0.25">
      <c r="G227" s="7">
        <f>_xlfn.NORM.DIST('DATA SIAP'!I226,$B$2,$B$3, FALSE)</f>
        <v>1.0054188033119906E-3</v>
      </c>
      <c r="H227" s="7">
        <f>_xlfn.NORM.DIST('DATA SIAP'!J226,$C$2,$C$3, FALSE)</f>
        <v>5.5408394908653263E-2</v>
      </c>
      <c r="I227" s="7">
        <f>_xlfn.NORM.DIST('DATA SIAP'!K226,$D$2,$D$3, FALSE)</f>
        <v>0.21834869514136626</v>
      </c>
      <c r="J227" s="7">
        <f>_xlfn.NORM.DIST('DATA SIAP'!L226,$E$2,$E$3, FALSE)</f>
        <v>3.3413098895780834E-2</v>
      </c>
      <c r="L227" s="7">
        <f>_xlfn.NORM.DIST('DATA SIAP'!I226,$B$5,$B$6, FALSE)</f>
        <v>0.22932569914643791</v>
      </c>
      <c r="M227" s="7">
        <f>_xlfn.NORM.DIST('DATA SIAP'!J226,$C$5,$C$6, FALSE)</f>
        <v>5.5793807117840009E-2</v>
      </c>
      <c r="N227" s="7">
        <f>_xlfn.NORM.DIST('DATA SIAP'!K226,$D$5,$D$6, FALSE)</f>
        <v>0.19067592347995771</v>
      </c>
      <c r="O227" s="7">
        <f>_xlfn.NORM.DIST('DATA SIAP'!L226,$E$5,$E$6, FALSE)</f>
        <v>3.3607216639797918E-2</v>
      </c>
      <c r="T227" s="7">
        <f t="shared" si="10"/>
        <v>2.2039021596882743E-7</v>
      </c>
      <c r="U227" s="7">
        <f t="shared" si="11"/>
        <v>3.7531173096253629E-5</v>
      </c>
      <c r="W227" s="7" t="str">
        <f t="shared" si="12"/>
        <v>SEHAT</v>
      </c>
    </row>
    <row r="228" spans="7:23" x14ac:dyDescent="0.25">
      <c r="G228" s="7">
        <f>_xlfn.NORM.DIST('DATA SIAP'!I227,$B$2,$B$3, FALSE)</f>
        <v>1.2967934154064259E-3</v>
      </c>
      <c r="H228" s="7">
        <f>_xlfn.NORM.DIST('DATA SIAP'!J227,$C$2,$C$3, FALSE)</f>
        <v>5.8658077629097465E-2</v>
      </c>
      <c r="I228" s="7">
        <f>_xlfn.NORM.DIST('DATA SIAP'!K227,$D$2,$D$3, FALSE)</f>
        <v>0.21834869514136626</v>
      </c>
      <c r="J228" s="7">
        <f>_xlfn.NORM.DIST('DATA SIAP'!L227,$E$2,$E$3, FALSE)</f>
        <v>3.6796195221948311E-2</v>
      </c>
      <c r="L228" s="7">
        <f>_xlfn.NORM.DIST('DATA SIAP'!I227,$B$5,$B$6, FALSE)</f>
        <v>0.24479804495420682</v>
      </c>
      <c r="M228" s="7">
        <f>_xlfn.NORM.DIST('DATA SIAP'!J227,$C$5,$C$6, FALSE)</f>
        <v>5.8643014773348399E-2</v>
      </c>
      <c r="N228" s="7">
        <f>_xlfn.NORM.DIST('DATA SIAP'!K227,$D$5,$D$6, FALSE)</f>
        <v>0.19067592347995771</v>
      </c>
      <c r="O228" s="7">
        <f>_xlfn.NORM.DIST('DATA SIAP'!L227,$E$5,$E$6, FALSE)</f>
        <v>3.6274184372310163E-2</v>
      </c>
      <c r="T228" s="7">
        <f t="shared" si="10"/>
        <v>3.3140153729393359E-7</v>
      </c>
      <c r="U228" s="7">
        <f t="shared" si="11"/>
        <v>4.5450928599602418E-5</v>
      </c>
      <c r="W228" s="7" t="str">
        <f t="shared" si="12"/>
        <v>ANEMIA</v>
      </c>
    </row>
    <row r="229" spans="7:23" x14ac:dyDescent="0.25">
      <c r="G229" s="7">
        <f>_xlfn.NORM.DIST('DATA SIAP'!I228,$B$2,$B$3, FALSE)</f>
        <v>0.11112255931408969</v>
      </c>
      <c r="H229" s="7">
        <f>_xlfn.NORM.DIST('DATA SIAP'!J228,$C$2,$C$3, FALSE)</f>
        <v>0.10260832370383424</v>
      </c>
      <c r="I229" s="7">
        <f>_xlfn.NORM.DIST('DATA SIAP'!K228,$D$2,$D$3, FALSE)</f>
        <v>0.10074504551950023</v>
      </c>
      <c r="J229" s="7">
        <f>_xlfn.NORM.DIST('DATA SIAP'!L228,$E$2,$E$3, FALSE)</f>
        <v>2.7135702636909807E-2</v>
      </c>
      <c r="L229" s="7">
        <f>_xlfn.NORM.DIST('DATA SIAP'!I228,$B$5,$B$6, FALSE)</f>
        <v>2.9974745226935406E-5</v>
      </c>
      <c r="M229" s="7">
        <f>_xlfn.NORM.DIST('DATA SIAP'!J228,$C$5,$C$6, FALSE)</f>
        <v>9.5906469505890934E-2</v>
      </c>
      <c r="N229" s="7">
        <f>_xlfn.NORM.DIST('DATA SIAP'!K228,$D$5,$D$6, FALSE)</f>
        <v>7.3356217047997774E-2</v>
      </c>
      <c r="O229" s="7">
        <f>_xlfn.NORM.DIST('DATA SIAP'!L228,$E$5,$E$6, FALSE)</f>
        <v>2.8375717646180847E-2</v>
      </c>
      <c r="T229" s="7">
        <f t="shared" si="10"/>
        <v>1.6902540203751501E-5</v>
      </c>
      <c r="U229" s="7">
        <f t="shared" si="11"/>
        <v>2.7391271818949886E-9</v>
      </c>
      <c r="W229" s="7" t="str">
        <f t="shared" si="12"/>
        <v>ANEMIA</v>
      </c>
    </row>
    <row r="230" spans="7:23" x14ac:dyDescent="0.25">
      <c r="G230" s="7">
        <f>_xlfn.NORM.DIST('DATA SIAP'!I229,$B$2,$B$3, FALSE)</f>
        <v>0.28556630759985968</v>
      </c>
      <c r="H230" s="7">
        <f>_xlfn.NORM.DIST('DATA SIAP'!J229,$C$2,$C$3, FALSE)</f>
        <v>2.5995567843395465E-2</v>
      </c>
      <c r="I230" s="7">
        <f>_xlfn.NORM.DIST('DATA SIAP'!K229,$D$2,$D$3, FALSE)</f>
        <v>0.19482359643262351</v>
      </c>
      <c r="J230" s="7">
        <f>_xlfn.NORM.DIST('DATA SIAP'!L229,$E$2,$E$3, FALSE)</f>
        <v>4.1555912378453408E-2</v>
      </c>
      <c r="L230" s="7">
        <f>_xlfn.NORM.DIST('DATA SIAP'!I229,$B$5,$B$6, FALSE)</f>
        <v>2.1658038923362813E-3</v>
      </c>
      <c r="M230" s="7">
        <f>_xlfn.NORM.DIST('DATA SIAP'!J229,$C$5,$C$6, FALSE)</f>
        <v>2.9257200308458728E-2</v>
      </c>
      <c r="N230" s="7">
        <f>_xlfn.NORM.DIST('DATA SIAP'!K229,$D$5,$D$6, FALSE)</f>
        <v>0.16449544010737174</v>
      </c>
      <c r="O230" s="7">
        <f>_xlfn.NORM.DIST('DATA SIAP'!L229,$E$5,$E$6, FALSE)</f>
        <v>3.8508934065259813E-2</v>
      </c>
      <c r="T230" s="7">
        <f t="shared" si="10"/>
        <v>3.2589900419140692E-5</v>
      </c>
      <c r="U230" s="7">
        <f t="shared" si="11"/>
        <v>1.8373515847126419E-7</v>
      </c>
      <c r="W230" s="7" t="str">
        <f t="shared" si="12"/>
        <v>ANEMIA</v>
      </c>
    </row>
    <row r="231" spans="7:23" x14ac:dyDescent="0.25">
      <c r="G231" s="7">
        <f>_xlfn.NORM.DIST('DATA SIAP'!I230,$B$2,$B$3, FALSE)</f>
        <v>0.16341699682690056</v>
      </c>
      <c r="H231" s="7">
        <f>_xlfn.NORM.DIST('DATA SIAP'!J230,$C$2,$C$3, FALSE)</f>
        <v>6.3768277062872733E-2</v>
      </c>
      <c r="I231" s="7">
        <f>_xlfn.NORM.DIST('DATA SIAP'!K230,$D$2,$D$3, FALSE)</f>
        <v>0.28106392084554088</v>
      </c>
      <c r="J231" s="7">
        <f>_xlfn.NORM.DIST('DATA SIAP'!L230,$E$2,$E$3, FALSE)</f>
        <v>4.2370490717305746E-2</v>
      </c>
      <c r="L231" s="7">
        <f>_xlfn.NORM.DIST('DATA SIAP'!I230,$B$5,$B$6, FALSE)</f>
        <v>1.1639241761785992E-4</v>
      </c>
      <c r="M231" s="7">
        <f>_xlfn.NORM.DIST('DATA SIAP'!J230,$C$5,$C$6, FALSE)</f>
        <v>6.3654498965158485E-2</v>
      </c>
      <c r="N231" s="7">
        <f>_xlfn.NORM.DIST('DATA SIAP'!K230,$D$5,$D$6, FALSE)</f>
        <v>0.27714999836250115</v>
      </c>
      <c r="O231" s="7">
        <f>_xlfn.NORM.DIST('DATA SIAP'!L230,$E$5,$E$6, FALSE)</f>
        <v>4.0199428380785593E-2</v>
      </c>
      <c r="T231" s="7">
        <f t="shared" si="10"/>
        <v>6.7293463767692131E-5</v>
      </c>
      <c r="U231" s="7">
        <f t="shared" si="11"/>
        <v>3.7784489897402307E-8</v>
      </c>
      <c r="W231" s="7" t="str">
        <f t="shared" si="12"/>
        <v>ANEMIA</v>
      </c>
    </row>
    <row r="232" spans="7:23" x14ac:dyDescent="0.25">
      <c r="G232" s="7">
        <f>_xlfn.NORM.DIST('DATA SIAP'!I231,$B$2,$B$3, FALSE)</f>
        <v>0.29889263344341388</v>
      </c>
      <c r="H232" s="7">
        <f>_xlfn.NORM.DIST('DATA SIAP'!J231,$C$2,$C$3, FALSE)</f>
        <v>3.0746859758606828E-2</v>
      </c>
      <c r="I232" s="7">
        <f>_xlfn.NORM.DIST('DATA SIAP'!K231,$D$2,$D$3, FALSE)</f>
        <v>0.14591803167133907</v>
      </c>
      <c r="J232" s="7">
        <f>_xlfn.NORM.DIST('DATA SIAP'!L231,$E$2,$E$3, FALSE)</f>
        <v>1.9644521801806022E-2</v>
      </c>
      <c r="L232" s="7">
        <f>_xlfn.NORM.DIST('DATA SIAP'!I231,$B$5,$B$6, FALSE)</f>
        <v>1.1263179024492209E-2</v>
      </c>
      <c r="M232" s="7">
        <f>_xlfn.NORM.DIST('DATA SIAP'!J231,$C$5,$C$6, FALSE)</f>
        <v>3.3840026851190669E-2</v>
      </c>
      <c r="N232" s="7">
        <f>_xlfn.NORM.DIST('DATA SIAP'!K231,$D$5,$D$6, FALSE)</f>
        <v>0.11471631470308251</v>
      </c>
      <c r="O232" s="7">
        <f>_xlfn.NORM.DIST('DATA SIAP'!L231,$E$5,$E$6, FALSE)</f>
        <v>2.1704000422806548E-2</v>
      </c>
      <c r="T232" s="7">
        <f t="shared" si="10"/>
        <v>1.4284623013500496E-5</v>
      </c>
      <c r="U232" s="7">
        <f t="shared" si="11"/>
        <v>4.3439185579824805E-7</v>
      </c>
      <c r="W232" s="7" t="str">
        <f t="shared" si="12"/>
        <v>ANEMIA</v>
      </c>
    </row>
    <row r="233" spans="7:23" x14ac:dyDescent="0.25">
      <c r="G233" s="7">
        <f>_xlfn.NORM.DIST('DATA SIAP'!I232,$B$2,$B$3, FALSE)</f>
        <v>0.16684373170249162</v>
      </c>
      <c r="H233" s="7">
        <f>_xlfn.NORM.DIST('DATA SIAP'!J232,$C$2,$C$3, FALSE)</f>
        <v>0.10099376942535292</v>
      </c>
      <c r="I233" s="7">
        <f>_xlfn.NORM.DIST('DATA SIAP'!K232,$D$2,$D$3, FALSE)</f>
        <v>0.25300927958246416</v>
      </c>
      <c r="J233" s="7">
        <f>_xlfn.NORM.DIST('DATA SIAP'!L232,$E$2,$E$3, FALSE)</f>
        <v>3.4674987419099995E-2</v>
      </c>
      <c r="L233" s="7">
        <f>_xlfn.NORM.DIST('DATA SIAP'!I232,$B$5,$B$6, FALSE)</f>
        <v>8.8754245198698567E-2</v>
      </c>
      <c r="M233" s="7">
        <f>_xlfn.NORM.DIST('DATA SIAP'!J232,$C$5,$C$6, FALSE)</f>
        <v>9.4424779024592773E-2</v>
      </c>
      <c r="N233" s="7">
        <f>_xlfn.NORM.DIST('DATA SIAP'!K232,$D$5,$D$6, FALSE)</f>
        <v>0.27885369204976324</v>
      </c>
      <c r="O233" s="7">
        <f>_xlfn.NORM.DIST('DATA SIAP'!L232,$E$5,$E$6, FALSE)</f>
        <v>3.4616402847965869E-2</v>
      </c>
      <c r="T233" s="7">
        <f t="shared" si="10"/>
        <v>8.0160352759923992E-5</v>
      </c>
      <c r="U233" s="7">
        <f t="shared" si="11"/>
        <v>3.7030404803544373E-5</v>
      </c>
      <c r="W233" s="7" t="str">
        <f t="shared" si="12"/>
        <v>ANEMIA</v>
      </c>
    </row>
    <row r="234" spans="7:23" x14ac:dyDescent="0.25">
      <c r="G234" s="7">
        <f>_xlfn.NORM.DIST('DATA SIAP'!I233,$B$2,$B$3, FALSE)</f>
        <v>0.30370402725352391</v>
      </c>
      <c r="H234" s="7">
        <f>_xlfn.NORM.DIST('DATA SIAP'!J233,$C$2,$C$3, FALSE)</f>
        <v>3.201035707858596E-2</v>
      </c>
      <c r="I234" s="7">
        <f>_xlfn.NORM.DIST('DATA SIAP'!K233,$D$2,$D$3, FALSE)</f>
        <v>0.26561722062877446</v>
      </c>
      <c r="J234" s="7">
        <f>_xlfn.NORM.DIST('DATA SIAP'!L233,$E$2,$E$3, FALSE)</f>
        <v>4.2889364447375997E-2</v>
      </c>
      <c r="L234" s="7">
        <f>_xlfn.NORM.DIST('DATA SIAP'!I233,$B$5,$B$6, FALSE)</f>
        <v>7.2709962889710416E-3</v>
      </c>
      <c r="M234" s="7">
        <f>_xlfn.NORM.DIST('DATA SIAP'!J233,$C$5,$C$6, FALSE)</f>
        <v>3.5042122838522372E-2</v>
      </c>
      <c r="N234" s="7">
        <f>_xlfn.NORM.DIST('DATA SIAP'!K233,$D$5,$D$6, FALSE)</f>
        <v>0.25087690118257733</v>
      </c>
      <c r="O234" s="7">
        <f>_xlfn.NORM.DIST('DATA SIAP'!L233,$E$5,$E$6, FALSE)</f>
        <v>4.0433264310077932E-2</v>
      </c>
      <c r="T234" s="7">
        <f t="shared" si="10"/>
        <v>6.0055016301274722E-5</v>
      </c>
      <c r="U234" s="7">
        <f t="shared" si="11"/>
        <v>1.1830655939929068E-6</v>
      </c>
      <c r="W234" s="7" t="str">
        <f t="shared" si="12"/>
        <v>ANEMIA</v>
      </c>
    </row>
    <row r="235" spans="7:23" x14ac:dyDescent="0.25">
      <c r="G235" s="7">
        <f>_xlfn.NORM.DIST('DATA SIAP'!I234,$B$2,$B$3, FALSE)</f>
        <v>0.20533799040714429</v>
      </c>
      <c r="H235" s="7">
        <f>_xlfn.NORM.DIST('DATA SIAP'!J234,$C$2,$C$3, FALSE)</f>
        <v>4.1637046730842078E-2</v>
      </c>
      <c r="I235" s="7">
        <f>_xlfn.NORM.DIST('DATA SIAP'!K234,$D$2,$D$3, FALSE)</f>
        <v>0.16303965166659332</v>
      </c>
      <c r="J235" s="7">
        <f>_xlfn.NORM.DIST('DATA SIAP'!L234,$E$2,$E$3, FALSE)</f>
        <v>2.7439448646940881E-2</v>
      </c>
      <c r="L235" s="7">
        <f>_xlfn.NORM.DIST('DATA SIAP'!I234,$B$5,$B$6, FALSE)</f>
        <v>3.0013545453784864E-4</v>
      </c>
      <c r="M235" s="7">
        <f>_xlfn.NORM.DIST('DATA SIAP'!J234,$C$5,$C$6, FALSE)</f>
        <v>4.4009140975046282E-2</v>
      </c>
      <c r="N235" s="7">
        <f>_xlfn.NORM.DIST('DATA SIAP'!K234,$D$5,$D$6, FALSE)</f>
        <v>0.19394963457395645</v>
      </c>
      <c r="O235" s="7">
        <f>_xlfn.NORM.DIST('DATA SIAP'!L234,$E$5,$E$6, FALSE)</f>
        <v>2.5696962302378931E-2</v>
      </c>
      <c r="T235" s="7">
        <f t="shared" si="10"/>
        <v>2.0740547929535038E-5</v>
      </c>
      <c r="U235" s="7">
        <f t="shared" si="11"/>
        <v>3.0133942683037328E-8</v>
      </c>
      <c r="W235" s="7" t="str">
        <f t="shared" si="12"/>
        <v>ANEMIA</v>
      </c>
    </row>
    <row r="236" spans="7:23" x14ac:dyDescent="0.25">
      <c r="G236" s="7">
        <f>_xlfn.NORM.DIST('DATA SIAP'!I235,$B$2,$B$3, FALSE)</f>
        <v>0.12343957965000014</v>
      </c>
      <c r="H236" s="7">
        <f>_xlfn.NORM.DIST('DATA SIAP'!J235,$C$2,$C$3, FALSE)</f>
        <v>2.8309912561668246E-2</v>
      </c>
      <c r="I236" s="7">
        <f>_xlfn.NORM.DIST('DATA SIAP'!K235,$D$2,$D$3, FALSE)</f>
        <v>0.28106392084554088</v>
      </c>
      <c r="J236" s="7">
        <f>_xlfn.NORM.DIST('DATA SIAP'!L235,$E$2,$E$3, FALSE)</f>
        <v>2.5724494627192313E-2</v>
      </c>
      <c r="L236" s="7">
        <f>_xlfn.NORM.DIST('DATA SIAP'!I235,$B$5,$B$6, FALSE)</f>
        <v>4.2501347029991324E-5</v>
      </c>
      <c r="M236" s="7">
        <f>_xlfn.NORM.DIST('DATA SIAP'!J235,$C$5,$C$6, FALSE)</f>
        <v>3.1502393486152178E-2</v>
      </c>
      <c r="N236" s="7">
        <f>_xlfn.NORM.DIST('DATA SIAP'!K235,$D$5,$D$6, FALSE)</f>
        <v>0.27714999836250115</v>
      </c>
      <c r="O236" s="7">
        <f>_xlfn.NORM.DIST('DATA SIAP'!L235,$E$5,$E$6, FALSE)</f>
        <v>2.7154758459571125E-2</v>
      </c>
      <c r="T236" s="7">
        <f t="shared" si="10"/>
        <v>1.3700843162730215E-5</v>
      </c>
      <c r="U236" s="7">
        <f t="shared" si="11"/>
        <v>4.6124543750976031E-9</v>
      </c>
      <c r="W236" s="7" t="str">
        <f t="shared" si="12"/>
        <v>ANEMIA</v>
      </c>
    </row>
    <row r="237" spans="7:23" x14ac:dyDescent="0.25">
      <c r="G237" s="7">
        <f>_xlfn.NORM.DIST('DATA SIAP'!I236,$B$2,$B$3, FALSE)</f>
        <v>0.25670433563455602</v>
      </c>
      <c r="H237" s="7">
        <f>_xlfn.NORM.DIST('DATA SIAP'!J236,$C$2,$C$3, FALSE)</f>
        <v>3.201035707858596E-2</v>
      </c>
      <c r="I237" s="7">
        <f>_xlfn.NORM.DIST('DATA SIAP'!K236,$D$2,$D$3, FALSE)</f>
        <v>0.25300927958246416</v>
      </c>
      <c r="J237" s="7">
        <f>_xlfn.NORM.DIST('DATA SIAP'!L236,$E$2,$E$3, FALSE)</f>
        <v>4.3005048372796818E-2</v>
      </c>
      <c r="L237" s="7">
        <f>_xlfn.NORM.DIST('DATA SIAP'!I236,$B$5,$B$6, FALSE)</f>
        <v>9.6648490919382037E-4</v>
      </c>
      <c r="M237" s="7">
        <f>_xlfn.NORM.DIST('DATA SIAP'!J236,$C$5,$C$6, FALSE)</f>
        <v>3.5042122838522372E-2</v>
      </c>
      <c r="N237" s="7">
        <f>_xlfn.NORM.DIST('DATA SIAP'!K236,$D$5,$D$6, FALSE)</f>
        <v>0.27885369204976324</v>
      </c>
      <c r="O237" s="7">
        <f>_xlfn.NORM.DIST('DATA SIAP'!L236,$E$5,$E$6, FALSE)</f>
        <v>4.0156793606372254E-2</v>
      </c>
      <c r="T237" s="7">
        <f t="shared" si="10"/>
        <v>4.848216372800718E-5</v>
      </c>
      <c r="U237" s="7">
        <f t="shared" si="11"/>
        <v>1.7359848257261369E-7</v>
      </c>
      <c r="W237" s="7" t="str">
        <f t="shared" si="12"/>
        <v>ANEMIA</v>
      </c>
    </row>
    <row r="238" spans="7:23" x14ac:dyDescent="0.25">
      <c r="G238" s="7">
        <f>_xlfn.NORM.DIST('DATA SIAP'!I237,$B$2,$B$3, FALSE)</f>
        <v>0.11112255931408969</v>
      </c>
      <c r="H238" s="7">
        <f>_xlfn.NORM.DIST('DATA SIAP'!J237,$C$2,$C$3, FALSE)</f>
        <v>7.9529562482071894E-2</v>
      </c>
      <c r="I238" s="7">
        <f>_xlfn.NORM.DIST('DATA SIAP'!K237,$D$2,$D$3, FALSE)</f>
        <v>0.18761229391009854</v>
      </c>
      <c r="J238" s="7">
        <f>_xlfn.NORM.DIST('DATA SIAP'!L237,$E$2,$E$3, FALSE)</f>
        <v>1.655876166838401E-2</v>
      </c>
      <c r="L238" s="7">
        <f>_xlfn.NORM.DIST('DATA SIAP'!I237,$B$5,$B$6, FALSE)</f>
        <v>2.9974745226935406E-5</v>
      </c>
      <c r="M238" s="7">
        <f>_xlfn.NORM.DIST('DATA SIAP'!J237,$C$5,$C$6, FALSE)</f>
        <v>7.6535332316773924E-2</v>
      </c>
      <c r="N238" s="7">
        <f>_xlfn.NORM.DIST('DATA SIAP'!K237,$D$5,$D$6, FALSE)</f>
        <v>0.21939825426614995</v>
      </c>
      <c r="O238" s="7">
        <f>_xlfn.NORM.DIST('DATA SIAP'!L237,$E$5,$E$6, FALSE)</f>
        <v>1.8808508090986376E-2</v>
      </c>
      <c r="T238" s="7">
        <f t="shared" si="10"/>
        <v>1.4887520010423688E-5</v>
      </c>
      <c r="U238" s="7">
        <f t="shared" si="11"/>
        <v>4.3334121916271411E-9</v>
      </c>
      <c r="W238" s="7" t="str">
        <f t="shared" si="12"/>
        <v>SEHAT</v>
      </c>
    </row>
    <row r="239" spans="7:23" x14ac:dyDescent="0.25">
      <c r="G239" s="7">
        <f>_xlfn.NORM.DIST('DATA SIAP'!I238,$B$2,$B$3, FALSE)</f>
        <v>2.1201250670888029E-3</v>
      </c>
      <c r="H239" s="7">
        <f>_xlfn.NORM.DIST('DATA SIAP'!J238,$C$2,$C$3, FALSE)</f>
        <v>7.8005419042962487E-2</v>
      </c>
      <c r="I239" s="7">
        <f>_xlfn.NORM.DIST('DATA SIAP'!K238,$D$2,$D$3, FALSE)</f>
        <v>0.21834869514136626</v>
      </c>
      <c r="J239" s="7">
        <f>_xlfn.NORM.DIST('DATA SIAP'!L238,$E$2,$E$3, FALSE)</f>
        <v>3.3669604863899284E-2</v>
      </c>
      <c r="L239" s="7">
        <f>_xlfn.NORM.DIST('DATA SIAP'!I238,$B$5,$B$6, FALSE)</f>
        <v>0.27340634464238739</v>
      </c>
      <c r="M239" s="7">
        <f>_xlfn.NORM.DIST('DATA SIAP'!J238,$C$5,$C$6, FALSE)</f>
        <v>7.5249151950046486E-2</v>
      </c>
      <c r="N239" s="7">
        <f>_xlfn.NORM.DIST('DATA SIAP'!K238,$D$5,$D$6, FALSE)</f>
        <v>0.19067592347995771</v>
      </c>
      <c r="O239" s="7">
        <f>_xlfn.NORM.DIST('DATA SIAP'!L238,$E$5,$E$6, FALSE)</f>
        <v>3.381362493682176E-2</v>
      </c>
      <c r="T239" s="7">
        <f t="shared" si="10"/>
        <v>6.5929116587374658E-7</v>
      </c>
      <c r="U239" s="7">
        <f t="shared" si="11"/>
        <v>6.0718746913962602E-5</v>
      </c>
      <c r="W239" s="7" t="str">
        <f t="shared" si="12"/>
        <v>ANEMIA</v>
      </c>
    </row>
    <row r="240" spans="7:23" x14ac:dyDescent="0.25">
      <c r="G240" s="7">
        <f>_xlfn.NORM.DIST('DATA SIAP'!I239,$B$2,$B$3, FALSE)</f>
        <v>0.27720518307710384</v>
      </c>
      <c r="H240" s="7">
        <f>_xlfn.NORM.DIST('DATA SIAP'!J239,$C$2,$C$3, FALSE)</f>
        <v>9.7115001686991193E-2</v>
      </c>
      <c r="I240" s="7">
        <f>_xlfn.NORM.DIST('DATA SIAP'!K239,$D$2,$D$3, FALSE)</f>
        <v>0.26561722062877446</v>
      </c>
      <c r="J240" s="7">
        <f>_xlfn.NORM.DIST('DATA SIAP'!L239,$E$2,$E$3, FALSE)</f>
        <v>1.2417234425301847E-2</v>
      </c>
      <c r="L240" s="7">
        <f>_xlfn.NORM.DIST('DATA SIAP'!I239,$B$5,$B$6, FALSE)</f>
        <v>1.666151072771268E-3</v>
      </c>
      <c r="M240" s="7">
        <f>_xlfn.NORM.DIST('DATA SIAP'!J239,$C$5,$C$6, FALSE)</f>
        <v>9.1208750568405911E-2</v>
      </c>
      <c r="N240" s="7">
        <f>_xlfn.NORM.DIST('DATA SIAP'!K239,$D$5,$D$6, FALSE)</f>
        <v>0.25087690118257733</v>
      </c>
      <c r="O240" s="7">
        <f>_xlfn.NORM.DIST('DATA SIAP'!L239,$E$5,$E$6, FALSE)</f>
        <v>1.4757734253638343E-2</v>
      </c>
      <c r="T240" s="7">
        <f t="shared" si="10"/>
        <v>4.8147213479043225E-5</v>
      </c>
      <c r="U240" s="7">
        <f t="shared" si="11"/>
        <v>2.5754685929829622E-7</v>
      </c>
      <c r="W240" s="7" t="str">
        <f t="shared" si="12"/>
        <v>SEHAT</v>
      </c>
    </row>
    <row r="241" spans="7:23" x14ac:dyDescent="0.25">
      <c r="G241" s="7">
        <f>_xlfn.NORM.DIST('DATA SIAP'!I240,$B$2,$B$3, FALSE)</f>
        <v>7.1119540327410455E-2</v>
      </c>
      <c r="H241" s="7">
        <f>_xlfn.NORM.DIST('DATA SIAP'!J240,$C$2,$C$3, FALSE)</f>
        <v>0.10099376942535292</v>
      </c>
      <c r="I241" s="7">
        <f>_xlfn.NORM.DIST('DATA SIAP'!K240,$D$2,$D$3, FALSE)</f>
        <v>0.11136771953090253</v>
      </c>
      <c r="J241" s="7">
        <f>_xlfn.NORM.DIST('DATA SIAP'!L240,$E$2,$E$3, FALSE)</f>
        <v>1.4425130051272671E-2</v>
      </c>
      <c r="L241" s="7">
        <f>_xlfn.NORM.DIST('DATA SIAP'!I240,$B$5,$B$6, FALSE)</f>
        <v>0.2058796345211516</v>
      </c>
      <c r="M241" s="7">
        <f>_xlfn.NORM.DIST('DATA SIAP'!J240,$C$5,$C$6, FALSE)</f>
        <v>9.4424779024592773E-2</v>
      </c>
      <c r="N241" s="7">
        <f>_xlfn.NORM.DIST('DATA SIAP'!K240,$D$5,$D$6, FALSE)</f>
        <v>8.270172681067138E-2</v>
      </c>
      <c r="O241" s="7">
        <f>_xlfn.NORM.DIST('DATA SIAP'!L240,$E$5,$E$6, FALSE)</f>
        <v>1.414855989925907E-2</v>
      </c>
      <c r="T241" s="7">
        <f t="shared" si="10"/>
        <v>6.2569828929021525E-6</v>
      </c>
      <c r="U241" s="7">
        <f t="shared" si="11"/>
        <v>1.0412408391520509E-5</v>
      </c>
      <c r="W241" s="7" t="str">
        <f t="shared" si="12"/>
        <v>ANEMIA</v>
      </c>
    </row>
    <row r="242" spans="7:23" x14ac:dyDescent="0.25">
      <c r="G242" s="7">
        <f>_xlfn.NORM.DIST('DATA SIAP'!I241,$B$2,$B$3, FALSE)</f>
        <v>0.21902250053629846</v>
      </c>
      <c r="H242" s="7">
        <f>_xlfn.NORM.DIST('DATA SIAP'!J241,$C$2,$C$3, FALSE)</f>
        <v>5.061046720391453E-2</v>
      </c>
      <c r="I242" s="7">
        <f>_xlfn.NORM.DIST('DATA SIAP'!K241,$D$2,$D$3, FALSE)</f>
        <v>0.26561722062877446</v>
      </c>
      <c r="J242" s="7">
        <f>_xlfn.NORM.DIST('DATA SIAP'!L241,$E$2,$E$3, FALSE)</f>
        <v>4.2104064184235922E-2</v>
      </c>
      <c r="L242" s="7">
        <f>_xlfn.NORM.DIST('DATA SIAP'!I241,$B$5,$B$6, FALSE)</f>
        <v>4.061080910159737E-4</v>
      </c>
      <c r="M242" s="7">
        <f>_xlfn.NORM.DIST('DATA SIAP'!J241,$C$5,$C$6, FALSE)</f>
        <v>5.1549117452228205E-2</v>
      </c>
      <c r="N242" s="7">
        <f>_xlfn.NORM.DIST('DATA SIAP'!K241,$D$5,$D$6, FALSE)</f>
        <v>0.25087690118257733</v>
      </c>
      <c r="O242" s="7">
        <f>_xlfn.NORM.DIST('DATA SIAP'!L241,$E$5,$E$6, FALSE)</f>
        <v>3.9076278948143646E-2</v>
      </c>
      <c r="T242" s="7">
        <f t="shared" si="10"/>
        <v>6.7222042982610663E-5</v>
      </c>
      <c r="U242" s="7">
        <f t="shared" si="11"/>
        <v>9.3942424968539848E-8</v>
      </c>
      <c r="W242" s="7" t="str">
        <f t="shared" si="12"/>
        <v>SEHAT</v>
      </c>
    </row>
    <row r="243" spans="7:23" x14ac:dyDescent="0.25">
      <c r="G243" s="7">
        <f>_xlfn.NORM.DIST('DATA SIAP'!I242,$B$2,$B$3, FALSE)</f>
        <v>2.6873756118412514E-3</v>
      </c>
      <c r="H243" s="7">
        <f>_xlfn.NORM.DIST('DATA SIAP'!J242,$C$2,$C$3, FALSE)</f>
        <v>5.0802020562053983E-2</v>
      </c>
      <c r="I243" s="7">
        <f>_xlfn.NORM.DIST('DATA SIAP'!K242,$D$2,$D$3, FALSE)</f>
        <v>0.11136771953090253</v>
      </c>
      <c r="J243" s="7">
        <f>_xlfn.NORM.DIST('DATA SIAP'!L242,$E$2,$E$3, FALSE)</f>
        <v>3.1857323694058311E-2</v>
      </c>
      <c r="L243" s="7">
        <f>_xlfn.NORM.DIST('DATA SIAP'!I242,$B$5,$B$6, FALSE)</f>
        <v>0.28605794420747072</v>
      </c>
      <c r="M243" s="7">
        <f>_xlfn.NORM.DIST('DATA SIAP'!J242,$C$5,$C$6, FALSE)</f>
        <v>5.2285205611031955E-2</v>
      </c>
      <c r="N243" s="7">
        <f>_xlfn.NORM.DIST('DATA SIAP'!K242,$D$5,$D$6, FALSE)</f>
        <v>8.270172681067138E-2</v>
      </c>
      <c r="O243" s="7">
        <f>_xlfn.NORM.DIST('DATA SIAP'!L242,$E$5,$E$6, FALSE)</f>
        <v>2.9599791429928198E-2</v>
      </c>
      <c r="T243" s="7">
        <f t="shared" si="10"/>
        <v>2.6265178300334191E-7</v>
      </c>
      <c r="U243" s="7">
        <f t="shared" si="11"/>
        <v>1.6759500634806689E-5</v>
      </c>
      <c r="W243" s="7" t="str">
        <f t="shared" si="12"/>
        <v>ANEMIA</v>
      </c>
    </row>
    <row r="244" spans="7:23" x14ac:dyDescent="0.25">
      <c r="G244" s="7">
        <f>_xlfn.NORM.DIST('DATA SIAP'!I243,$B$2,$B$3, FALSE)</f>
        <v>0.29247827880955168</v>
      </c>
      <c r="H244" s="7">
        <f>_xlfn.NORM.DIST('DATA SIAP'!J243,$C$2,$C$3, FALSE)</f>
        <v>4.1637046730842078E-2</v>
      </c>
      <c r="I244" s="7">
        <f>_xlfn.NORM.DIST('DATA SIAP'!K243,$D$2,$D$3, FALSE)</f>
        <v>6.7385222064391778E-2</v>
      </c>
      <c r="J244" s="7">
        <f>_xlfn.NORM.DIST('DATA SIAP'!L243,$E$2,$E$3, FALSE)</f>
        <v>2.7439448646940881E-2</v>
      </c>
      <c r="L244" s="7">
        <f>_xlfn.NORM.DIST('DATA SIAP'!I243,$B$5,$B$6, FALSE)</f>
        <v>2.7965373107455933E-3</v>
      </c>
      <c r="M244" s="7">
        <f>_xlfn.NORM.DIST('DATA SIAP'!J243,$C$5,$C$6, FALSE)</f>
        <v>4.4009140975046282E-2</v>
      </c>
      <c r="N244" s="7">
        <f>_xlfn.NORM.DIST('DATA SIAP'!K243,$D$5,$D$6, FALSE)</f>
        <v>8.5159033170030513E-2</v>
      </c>
      <c r="O244" s="7">
        <f>_xlfn.NORM.DIST('DATA SIAP'!L243,$E$5,$E$6, FALSE)</f>
        <v>2.5696962302378931E-2</v>
      </c>
      <c r="T244" s="7">
        <f t="shared" si="10"/>
        <v>1.2210008367120922E-5</v>
      </c>
      <c r="U244" s="7">
        <f t="shared" si="11"/>
        <v>1.2328238606238591E-7</v>
      </c>
      <c r="W244" s="7" t="str">
        <f t="shared" si="12"/>
        <v>SEHAT</v>
      </c>
    </row>
    <row r="245" spans="7:23" x14ac:dyDescent="0.25">
      <c r="G245" s="7">
        <f>_xlfn.NORM.DIST('DATA SIAP'!I244,$B$2,$B$3, FALSE)</f>
        <v>8.0741245945897683E-2</v>
      </c>
      <c r="H245" s="7">
        <f>_xlfn.NORM.DIST('DATA SIAP'!J244,$C$2,$C$3, FALSE)</f>
        <v>9.8946481219223462E-2</v>
      </c>
      <c r="I245" s="7">
        <f>_xlfn.NORM.DIST('DATA SIAP'!K244,$D$2,$D$3, FALSE)</f>
        <v>0.17033125385914347</v>
      </c>
      <c r="J245" s="7">
        <f>_xlfn.NORM.DIST('DATA SIAP'!L244,$E$2,$E$3, FALSE)</f>
        <v>2.0199987083146353E-2</v>
      </c>
      <c r="L245" s="7">
        <f>_xlfn.NORM.DIST('DATA SIAP'!I244,$B$5,$B$6, FALSE)</f>
        <v>0.18971286532748305</v>
      </c>
      <c r="M245" s="7">
        <f>_xlfn.NORM.DIST('DATA SIAP'!J244,$C$5,$C$6, FALSE)</f>
        <v>9.298873747079453E-2</v>
      </c>
      <c r="N245" s="7">
        <f>_xlfn.NORM.DIST('DATA SIAP'!K244,$D$5,$D$6, FALSE)</f>
        <v>0.13886633480617</v>
      </c>
      <c r="O245" s="7">
        <f>_xlfn.NORM.DIST('DATA SIAP'!L244,$E$5,$E$6, FALSE)</f>
        <v>1.9306996133093141E-2</v>
      </c>
      <c r="T245" s="7">
        <f t="shared" si="10"/>
        <v>1.4905399376147927E-5</v>
      </c>
      <c r="U245" s="7">
        <f t="shared" si="11"/>
        <v>2.1650295562569469E-5</v>
      </c>
      <c r="W245" s="7" t="str">
        <f t="shared" si="12"/>
        <v>ANEMIA</v>
      </c>
    </row>
    <row r="246" spans="7:23" x14ac:dyDescent="0.25">
      <c r="G246" s="7">
        <f>_xlfn.NORM.DIST('DATA SIAP'!I245,$B$2,$B$3, FALSE)</f>
        <v>0.15305099676198322</v>
      </c>
      <c r="H246" s="7">
        <f>_xlfn.NORM.DIST('DATA SIAP'!J245,$C$2,$C$3, FALSE)</f>
        <v>4.0009173504538843E-2</v>
      </c>
      <c r="I246" s="7">
        <f>_xlfn.NORM.DIST('DATA SIAP'!K245,$D$2,$D$3, FALSE)</f>
        <v>7.5864629322429281E-2</v>
      </c>
      <c r="J246" s="7">
        <f>_xlfn.NORM.DIST('DATA SIAP'!L245,$E$2,$E$3, FALSE)</f>
        <v>1.023696655722252E-2</v>
      </c>
      <c r="L246" s="7">
        <f>_xlfn.NORM.DIST('DATA SIAP'!I245,$B$5,$B$6, FALSE)</f>
        <v>0.10093193357148153</v>
      </c>
      <c r="M246" s="7">
        <f>_xlfn.NORM.DIST('DATA SIAP'!J245,$C$5,$C$6, FALSE)</f>
        <v>4.1983625779858522E-2</v>
      </c>
      <c r="N246" s="7">
        <f>_xlfn.NORM.DIST('DATA SIAP'!K245,$D$5,$D$6, FALSE)</f>
        <v>9.5359332080553083E-2</v>
      </c>
      <c r="O246" s="7">
        <f>_xlfn.NORM.DIST('DATA SIAP'!L245,$E$5,$E$6, FALSE)</f>
        <v>1.0330413117694301E-2</v>
      </c>
      <c r="T246" s="7">
        <f t="shared" si="10"/>
        <v>2.5787470715039462E-6</v>
      </c>
      <c r="U246" s="7">
        <f t="shared" si="11"/>
        <v>1.9107965027885955E-6</v>
      </c>
      <c r="W246" s="7" t="str">
        <f t="shared" si="12"/>
        <v>SEHAT</v>
      </c>
    </row>
    <row r="247" spans="7:23" x14ac:dyDescent="0.25">
      <c r="G247" s="7">
        <f>_xlfn.NORM.DIST('DATA SIAP'!I246,$B$2,$B$3, FALSE)</f>
        <v>1.2967934154064259E-3</v>
      </c>
      <c r="H247" s="7">
        <f>_xlfn.NORM.DIST('DATA SIAP'!J246,$C$2,$C$3, FALSE)</f>
        <v>8.2676258402150635E-2</v>
      </c>
      <c r="I247" s="7">
        <f>_xlfn.NORM.DIST('DATA SIAP'!K246,$D$2,$D$3, FALSE)</f>
        <v>0.26561722062877446</v>
      </c>
      <c r="J247" s="7">
        <f>_xlfn.NORM.DIST('DATA SIAP'!L246,$E$2,$E$3, FALSE)</f>
        <v>4.1422841334778929E-2</v>
      </c>
      <c r="L247" s="7">
        <f>_xlfn.NORM.DIST('DATA SIAP'!I246,$B$5,$B$6, FALSE)</f>
        <v>0.24479804495420682</v>
      </c>
      <c r="M247" s="7">
        <f>_xlfn.NORM.DIST('DATA SIAP'!J246,$C$5,$C$6, FALSE)</f>
        <v>7.9670096278473143E-2</v>
      </c>
      <c r="N247" s="7">
        <f>_xlfn.NORM.DIST('DATA SIAP'!K246,$D$5,$D$6, FALSE)</f>
        <v>0.25087690118257733</v>
      </c>
      <c r="O247" s="7">
        <f>_xlfn.NORM.DIST('DATA SIAP'!L246,$E$5,$E$6, FALSE)</f>
        <v>3.9625073058055245E-2</v>
      </c>
      <c r="T247" s="7">
        <f t="shared" si="10"/>
        <v>6.3966134182611107E-7</v>
      </c>
      <c r="U247" s="7">
        <f t="shared" si="11"/>
        <v>8.8748097519176516E-5</v>
      </c>
      <c r="W247" s="7" t="str">
        <f t="shared" si="12"/>
        <v>SEHAT</v>
      </c>
    </row>
    <row r="248" spans="7:23" x14ac:dyDescent="0.25">
      <c r="G248" s="7">
        <f>_xlfn.NORM.DIST('DATA SIAP'!I247,$B$2,$B$3, FALSE)</f>
        <v>1.2010622387859344E-2</v>
      </c>
      <c r="H248" s="7">
        <f>_xlfn.NORM.DIST('DATA SIAP'!J247,$C$2,$C$3, FALSE)</f>
        <v>8.9354507034905398E-2</v>
      </c>
      <c r="I248" s="7">
        <f>_xlfn.NORM.DIST('DATA SIAP'!K247,$D$2,$D$3, FALSE)</f>
        <v>0.26124555659402876</v>
      </c>
      <c r="J248" s="7">
        <f>_xlfn.NORM.DIST('DATA SIAP'!L247,$E$2,$E$3, FALSE)</f>
        <v>1.7581915684945645E-2</v>
      </c>
      <c r="L248" s="7">
        <f>_xlfn.NORM.DIST('DATA SIAP'!I247,$B$5,$B$6, FALSE)</f>
        <v>0.3255971339791599</v>
      </c>
      <c r="M248" s="7">
        <f>_xlfn.NORM.DIST('DATA SIAP'!J247,$C$5,$C$6, FALSE)</f>
        <v>8.4765481228408129E-2</v>
      </c>
      <c r="N248" s="7">
        <f>_xlfn.NORM.DIST('DATA SIAP'!K247,$D$5,$D$6, FALSE)</f>
        <v>0.28477087548562913</v>
      </c>
      <c r="O248" s="7">
        <f>_xlfn.NORM.DIST('DATA SIAP'!L247,$E$5,$E$6, FALSE)</f>
        <v>1.697932705402716E-2</v>
      </c>
      <c r="T248" s="7">
        <f t="shared" si="10"/>
        <v>2.6730031004744523E-6</v>
      </c>
      <c r="U248" s="7">
        <f t="shared" si="11"/>
        <v>6.108585567919898E-5</v>
      </c>
      <c r="W248" s="7" t="str">
        <f t="shared" si="12"/>
        <v>SEHAT</v>
      </c>
    </row>
    <row r="249" spans="7:23" x14ac:dyDescent="0.25">
      <c r="G249" s="7">
        <f>_xlfn.NORM.DIST('DATA SIAP'!I248,$B$2,$B$3, FALSE)</f>
        <v>1.0054188033119906E-3</v>
      </c>
      <c r="H249" s="7">
        <f>_xlfn.NORM.DIST('DATA SIAP'!J248,$C$2,$C$3, FALSE)</f>
        <v>0.10298716609708776</v>
      </c>
      <c r="I249" s="7">
        <f>_xlfn.NORM.DIST('DATA SIAP'!K248,$D$2,$D$3, FALSE)</f>
        <v>0.27722454854897127</v>
      </c>
      <c r="J249" s="7">
        <f>_xlfn.NORM.DIST('DATA SIAP'!L248,$E$2,$E$3, FALSE)</f>
        <v>3.3174881900893648E-2</v>
      </c>
      <c r="L249" s="7">
        <f>_xlfn.NORM.DIST('DATA SIAP'!I248,$B$5,$B$6, FALSE)</f>
        <v>0.22932569914643791</v>
      </c>
      <c r="M249" s="7">
        <f>_xlfn.NORM.DIST('DATA SIAP'!J248,$C$5,$C$6, FALSE)</f>
        <v>9.6202969642376596E-2</v>
      </c>
      <c r="N249" s="7">
        <f>_xlfn.NORM.DIST('DATA SIAP'!K248,$D$5,$D$6, FALSE)</f>
        <v>0.26955695164547089</v>
      </c>
      <c r="O249" s="7">
        <f>_xlfn.NORM.DIST('DATA SIAP'!L248,$E$5,$E$6, FALSE)</f>
        <v>3.0770459100540219E-2</v>
      </c>
      <c r="T249" s="7">
        <f t="shared" si="10"/>
        <v>5.1638493315956134E-7</v>
      </c>
      <c r="U249" s="7">
        <f t="shared" si="11"/>
        <v>8.3762711818486385E-5</v>
      </c>
      <c r="W249" s="7" t="str">
        <f t="shared" si="12"/>
        <v>ANEMIA</v>
      </c>
    </row>
    <row r="250" spans="7:23" x14ac:dyDescent="0.25">
      <c r="G250" s="7">
        <f>_xlfn.NORM.DIST('DATA SIAP'!I249,$B$2,$B$3, FALSE)</f>
        <v>0.11410407611236259</v>
      </c>
      <c r="H250" s="7">
        <f>_xlfn.NORM.DIST('DATA SIAP'!J249,$C$2,$C$3, FALSE)</f>
        <v>9.6161656224035566E-2</v>
      </c>
      <c r="I250" s="7">
        <f>_xlfn.NORM.DIST('DATA SIAP'!K249,$D$2,$D$3, FALSE)</f>
        <v>0.18263025300630079</v>
      </c>
      <c r="J250" s="7">
        <f>_xlfn.NORM.DIST('DATA SIAP'!L249,$E$2,$E$3, FALSE)</f>
        <v>3.1298412176428786E-2</v>
      </c>
      <c r="L250" s="7">
        <f>_xlfn.NORM.DIST('DATA SIAP'!I249,$B$5,$B$6, FALSE)</f>
        <v>0.14260257889943467</v>
      </c>
      <c r="M250" s="7">
        <f>_xlfn.NORM.DIST('DATA SIAP'!J249,$C$5,$C$6, FALSE)</f>
        <v>9.0418829930510661E-2</v>
      </c>
      <c r="N250" s="7">
        <f>_xlfn.NORM.DIST('DATA SIAP'!K249,$D$5,$D$6, FALSE)</f>
        <v>0.15154872267578176</v>
      </c>
      <c r="O250" s="7">
        <f>_xlfn.NORM.DIST('DATA SIAP'!L249,$E$5,$E$6, FALSE)</f>
        <v>3.1882438271472101E-2</v>
      </c>
      <c r="T250" s="7">
        <f t="shared" si="10"/>
        <v>3.4009519864621517E-5</v>
      </c>
      <c r="U250" s="7">
        <f t="shared" si="11"/>
        <v>2.8517738502346978E-5</v>
      </c>
      <c r="W250" s="7" t="str">
        <f t="shared" si="12"/>
        <v>SEHAT</v>
      </c>
    </row>
    <row r="251" spans="7:23" x14ac:dyDescent="0.25">
      <c r="G251" s="7">
        <f>_xlfn.NORM.DIST('DATA SIAP'!I250,$B$2,$B$3, FALSE)</f>
        <v>4.6941354546412226E-2</v>
      </c>
      <c r="H251" s="7">
        <f>_xlfn.NORM.DIST('DATA SIAP'!J250,$C$2,$C$3, FALSE)</f>
        <v>6.5208077660084879E-2</v>
      </c>
      <c r="I251" s="7">
        <f>_xlfn.NORM.DIST('DATA SIAP'!K250,$D$2,$D$3, FALSE)</f>
        <v>0.10074504551950023</v>
      </c>
      <c r="J251" s="7">
        <f>_xlfn.NORM.DIST('DATA SIAP'!L250,$E$2,$E$3, FALSE)</f>
        <v>1.160403443024596E-2</v>
      </c>
      <c r="L251" s="7">
        <f>_xlfn.NORM.DIST('DATA SIAP'!I250,$B$5,$B$6, FALSE)</f>
        <v>0.25278052747242452</v>
      </c>
      <c r="M251" s="7">
        <f>_xlfn.NORM.DIST('DATA SIAP'!J250,$C$5,$C$6, FALSE)</f>
        <v>6.432887467350773E-2</v>
      </c>
      <c r="N251" s="7">
        <f>_xlfn.NORM.DIST('DATA SIAP'!K250,$D$5,$D$6, FALSE)</f>
        <v>7.3356217047997774E-2</v>
      </c>
      <c r="O251" s="7">
        <f>_xlfn.NORM.DIST('DATA SIAP'!L250,$E$5,$E$6, FALSE)</f>
        <v>1.1586640308935971E-2</v>
      </c>
      <c r="T251" s="7">
        <f t="shared" si="10"/>
        <v>1.9404037345373216E-6</v>
      </c>
      <c r="U251" s="7">
        <f t="shared" si="11"/>
        <v>6.3265804380492881E-6</v>
      </c>
      <c r="W251" s="7" t="str">
        <f t="shared" si="12"/>
        <v>SEHAT</v>
      </c>
    </row>
    <row r="252" spans="7:23" x14ac:dyDescent="0.25">
      <c r="G252" s="7">
        <f>_xlfn.NORM.DIST('DATA SIAP'!I251,$B$2,$B$3, FALSE)</f>
        <v>2.0914816537887824E-2</v>
      </c>
      <c r="H252" s="7">
        <f>_xlfn.NORM.DIST('DATA SIAP'!J251,$C$2,$C$3, FALSE)</f>
        <v>8.6722943831225807E-2</v>
      </c>
      <c r="I252" s="7">
        <f>_xlfn.NORM.DIST('DATA SIAP'!K251,$D$2,$D$3, FALSE)</f>
        <v>0.12713630690141631</v>
      </c>
      <c r="J252" s="7">
        <f>_xlfn.NORM.DIST('DATA SIAP'!L251,$E$2,$E$3, FALSE)</f>
        <v>1.3968091235696921E-2</v>
      </c>
      <c r="L252" s="7">
        <f>_xlfn.NORM.DIST('DATA SIAP'!I251,$B$5,$B$6, FALSE)</f>
        <v>0.31133554004162617</v>
      </c>
      <c r="M252" s="7">
        <f>_xlfn.NORM.DIST('DATA SIAP'!J251,$C$5,$C$6, FALSE)</f>
        <v>8.2570542085344992E-2</v>
      </c>
      <c r="N252" s="7">
        <f>_xlfn.NORM.DIST('DATA SIAP'!K251,$D$5,$D$6, FALSE)</f>
        <v>0.1547817431068946</v>
      </c>
      <c r="O252" s="7">
        <f>_xlfn.NORM.DIST('DATA SIAP'!L251,$E$5,$E$6, FALSE)</f>
        <v>1.3735881948872446E-2</v>
      </c>
      <c r="T252" s="7">
        <f t="shared" si="10"/>
        <v>1.7466146824893001E-6</v>
      </c>
      <c r="U252" s="7">
        <f t="shared" si="11"/>
        <v>2.5018146467199517E-5</v>
      </c>
      <c r="W252" s="7" t="str">
        <f t="shared" si="12"/>
        <v>SEHAT</v>
      </c>
    </row>
    <row r="253" spans="7:23" x14ac:dyDescent="0.25">
      <c r="G253" s="7">
        <f>_xlfn.NORM.DIST('DATA SIAP'!I252,$B$2,$B$3, FALSE)</f>
        <v>7.7500453168946029E-4</v>
      </c>
      <c r="H253" s="7">
        <f>_xlfn.NORM.DIST('DATA SIAP'!J252,$C$2,$C$3, FALSE)</f>
        <v>5.8855917607667806E-2</v>
      </c>
      <c r="I253" s="7">
        <f>_xlfn.NORM.DIST('DATA SIAP'!K252,$D$2,$D$3, FALSE)</f>
        <v>7.5864629322429281E-2</v>
      </c>
      <c r="J253" s="7">
        <f>_xlfn.NORM.DIST('DATA SIAP'!L252,$E$2,$E$3, FALSE)</f>
        <v>1.3280739309875472E-2</v>
      </c>
      <c r="L253" s="7">
        <f>_xlfn.NORM.DIST('DATA SIAP'!I252,$B$5,$B$6, FALSE)</f>
        <v>0.21339991527020385</v>
      </c>
      <c r="M253" s="7">
        <f>_xlfn.NORM.DIST('DATA SIAP'!J252,$C$5,$C$6, FALSE)</f>
        <v>5.9388802980454888E-2</v>
      </c>
      <c r="N253" s="7">
        <f>_xlfn.NORM.DIST('DATA SIAP'!K252,$D$5,$D$6, FALSE)</f>
        <v>9.5359332080553083E-2</v>
      </c>
      <c r="O253" s="7">
        <f>_xlfn.NORM.DIST('DATA SIAP'!L252,$E$5,$E$6, FALSE)</f>
        <v>1.5619879970585048E-2</v>
      </c>
      <c r="T253" s="7">
        <f t="shared" si="10"/>
        <v>2.4920591711273915E-8</v>
      </c>
      <c r="U253" s="7">
        <f t="shared" si="11"/>
        <v>8.6410142146557628E-6</v>
      </c>
      <c r="W253" s="7" t="str">
        <f t="shared" si="12"/>
        <v>SEHAT</v>
      </c>
    </row>
    <row r="254" spans="7:23" x14ac:dyDescent="0.25">
      <c r="G254" s="7">
        <f>_xlfn.NORM.DIST('DATA SIAP'!I253,$B$2,$B$3, FALSE)</f>
        <v>4.2433147805415582E-3</v>
      </c>
      <c r="H254" s="7">
        <f>_xlfn.NORM.DIST('DATA SIAP'!J253,$C$2,$C$3, FALSE)</f>
        <v>7.0095800873473543E-2</v>
      </c>
      <c r="I254" s="7">
        <f>_xlfn.NORM.DIST('DATA SIAP'!K253,$D$2,$D$3, FALSE)</f>
        <v>0.15083248924656931</v>
      </c>
      <c r="J254" s="7">
        <f>_xlfn.NORM.DIST('DATA SIAP'!L253,$E$2,$E$3, FALSE)</f>
        <v>2.7698995913546257E-2</v>
      </c>
      <c r="L254" s="7">
        <f>_xlfn.NORM.DIST('DATA SIAP'!I253,$B$5,$B$6, FALSE)</f>
        <v>0.30692698152080589</v>
      </c>
      <c r="M254" s="7">
        <f>_xlfn.NORM.DIST('DATA SIAP'!J253,$C$5,$C$6, FALSE)</f>
        <v>6.8526910025946658E-2</v>
      </c>
      <c r="N254" s="7">
        <f>_xlfn.NORM.DIST('DATA SIAP'!K253,$D$5,$D$6, FALSE)</f>
        <v>0.18087822136530166</v>
      </c>
      <c r="O254" s="7">
        <f>_xlfn.NORM.DIST('DATA SIAP'!L253,$E$5,$E$6, FALSE)</f>
        <v>2.8858559028918776E-2</v>
      </c>
      <c r="T254" s="7">
        <f t="shared" si="10"/>
        <v>6.7384274621433911E-7</v>
      </c>
      <c r="U254" s="7">
        <f t="shared" si="11"/>
        <v>5.0255332500857914E-5</v>
      </c>
      <c r="W254" s="7" t="str">
        <f t="shared" si="12"/>
        <v>SEHAT</v>
      </c>
    </row>
    <row r="255" spans="7:23" x14ac:dyDescent="0.25">
      <c r="G255" s="7">
        <f>_xlfn.NORM.DIST('DATA SIAP'!I254,$B$2,$B$3, FALSE)</f>
        <v>6.2282131541449362E-2</v>
      </c>
      <c r="H255" s="7">
        <f>_xlfn.NORM.DIST('DATA SIAP'!J254,$C$2,$C$3, FALSE)</f>
        <v>8.6886905785492186E-2</v>
      </c>
      <c r="I255" s="7">
        <f>_xlfn.NORM.DIST('DATA SIAP'!K254,$D$2,$D$3, FALSE)</f>
        <v>0.17534041784492749</v>
      </c>
      <c r="J255" s="7">
        <f>_xlfn.NORM.DIST('DATA SIAP'!L254,$E$2,$E$3, FALSE)</f>
        <v>3.5183122477146354E-2</v>
      </c>
      <c r="L255" s="7">
        <f>_xlfn.NORM.DIST('DATA SIAP'!I254,$B$5,$B$6, FALSE)</f>
        <v>0.22193547602789976</v>
      </c>
      <c r="M255" s="7">
        <f>_xlfn.NORM.DIST('DATA SIAP'!J254,$C$5,$C$6, FALSE)</f>
        <v>8.3157979511717661E-2</v>
      </c>
      <c r="N255" s="7">
        <f>_xlfn.NORM.DIST('DATA SIAP'!K254,$D$5,$D$6, FALSE)</f>
        <v>0.20684161907798584</v>
      </c>
      <c r="O255" s="7">
        <f>_xlfn.NORM.DIST('DATA SIAP'!L254,$E$5,$E$6, FALSE)</f>
        <v>3.2566006368925211E-2</v>
      </c>
      <c r="T255" s="7">
        <f t="shared" si="10"/>
        <v>1.8102418335862666E-5</v>
      </c>
      <c r="U255" s="7">
        <f t="shared" si="11"/>
        <v>5.6906005582271326E-5</v>
      </c>
      <c r="W255" s="7" t="str">
        <f t="shared" si="12"/>
        <v>SEHAT</v>
      </c>
    </row>
    <row r="256" spans="7:23" x14ac:dyDescent="0.25">
      <c r="G256" s="7">
        <f>_xlfn.NORM.DIST('DATA SIAP'!I255,$B$2,$B$3, FALSE)</f>
        <v>8.6275571011700795E-10</v>
      </c>
      <c r="H256" s="7">
        <f>_xlfn.NORM.DIST('DATA SIAP'!J255,$C$2,$C$3, FALSE)</f>
        <v>3.3303204596245098E-2</v>
      </c>
      <c r="I256" s="7">
        <f>_xlfn.NORM.DIST('DATA SIAP'!K255,$D$2,$D$3, FALSE)</f>
        <v>0.23371301560207772</v>
      </c>
      <c r="J256" s="7">
        <f>_xlfn.NORM.DIST('DATA SIAP'!L255,$E$2,$E$3, FALSE)</f>
        <v>3.887231974283225E-2</v>
      </c>
      <c r="L256" s="7">
        <f>_xlfn.NORM.DIST('DATA SIAP'!I255,$B$5,$B$6, FALSE)</f>
        <v>1.3540517021465569E-4</v>
      </c>
      <c r="M256" s="7">
        <f>_xlfn.NORM.DIST('DATA SIAP'!J255,$C$5,$C$6, FALSE)</f>
        <v>3.6265544838629503E-2</v>
      </c>
      <c r="N256" s="7">
        <f>_xlfn.NORM.DIST('DATA SIAP'!K255,$D$5,$D$6, FALSE)</f>
        <v>0.26307336761375211</v>
      </c>
      <c r="O256" s="7">
        <f>_xlfn.NORM.DIST('DATA SIAP'!L255,$E$5,$E$6, FALSE)</f>
        <v>3.7838035101675764E-2</v>
      </c>
      <c r="T256" s="7">
        <f t="shared" si="10"/>
        <v>1.4154665350015531E-13</v>
      </c>
      <c r="U256" s="7">
        <f t="shared" si="11"/>
        <v>2.2374839372999685E-8</v>
      </c>
      <c r="W256" s="7" t="str">
        <f t="shared" si="12"/>
        <v>SEHAT</v>
      </c>
    </row>
    <row r="257" spans="7:23" x14ac:dyDescent="0.25">
      <c r="G257" s="7">
        <f>_xlfn.NORM.DIST('DATA SIAP'!I256,$B$2,$B$3, FALSE)</f>
        <v>3.4281684424601421E-4</v>
      </c>
      <c r="H257" s="7">
        <f>_xlfn.NORM.DIST('DATA SIAP'!J256,$C$2,$C$3, FALSE)</f>
        <v>9.0607953466535732E-2</v>
      </c>
      <c r="I257" s="7">
        <f>_xlfn.NORM.DIST('DATA SIAP'!K256,$D$2,$D$3, FALSE)</f>
        <v>0.21153935719650352</v>
      </c>
      <c r="J257" s="7">
        <f>_xlfn.NORM.DIST('DATA SIAP'!L256,$E$2,$E$3, FALSE)</f>
        <v>1.5344466106817875E-2</v>
      </c>
      <c r="L257" s="7">
        <f>_xlfn.NORM.DIST('DATA SIAP'!I256,$B$5,$B$6, FALSE)</f>
        <v>0.16519587688849741</v>
      </c>
      <c r="M257" s="7">
        <f>_xlfn.NORM.DIST('DATA SIAP'!J256,$C$5,$C$6, FALSE)</f>
        <v>8.5808856617558465E-2</v>
      </c>
      <c r="N257" s="7">
        <f>_xlfn.NORM.DIST('DATA SIAP'!K256,$D$5,$D$6, FALSE)</f>
        <v>0.24286362542611273</v>
      </c>
      <c r="O257" s="7">
        <f>_xlfn.NORM.DIST('DATA SIAP'!L256,$E$5,$E$6, FALSE)</f>
        <v>1.7641924748456633E-2</v>
      </c>
      <c r="T257" s="7">
        <f t="shared" si="10"/>
        <v>5.4673114855607514E-8</v>
      </c>
      <c r="U257" s="7">
        <f t="shared" si="11"/>
        <v>2.780127861169513E-5</v>
      </c>
      <c r="W257" s="7" t="str">
        <f t="shared" si="12"/>
        <v>SEHAT</v>
      </c>
    </row>
    <row r="258" spans="7:23" x14ac:dyDescent="0.25">
      <c r="G258" s="7">
        <f>_xlfn.NORM.DIST('DATA SIAP'!I257,$B$2,$B$3, FALSE)</f>
        <v>3.4567812457190553E-2</v>
      </c>
      <c r="H258" s="7">
        <f>_xlfn.NORM.DIST('DATA SIAP'!J257,$C$2,$C$3, FALSE)</f>
        <v>7.6458664867871215E-2</v>
      </c>
      <c r="I258" s="7">
        <f>_xlfn.NORM.DIST('DATA SIAP'!K257,$D$2,$D$3, FALSE)</f>
        <v>7.5864629322429281E-2</v>
      </c>
      <c r="J258" s="7">
        <f>_xlfn.NORM.DIST('DATA SIAP'!L257,$E$2,$E$3, FALSE)</f>
        <v>3.7035319866964719E-2</v>
      </c>
      <c r="L258" s="7">
        <f>_xlfn.NORM.DIST('DATA SIAP'!I257,$B$5,$B$6, FALSE)</f>
        <v>0.28031571355468393</v>
      </c>
      <c r="M258" s="7">
        <f>_xlfn.NORM.DIST('DATA SIAP'!J257,$C$5,$C$6, FALSE)</f>
        <v>7.3941003018580351E-2</v>
      </c>
      <c r="N258" s="7">
        <f>_xlfn.NORM.DIST('DATA SIAP'!K257,$D$5,$D$6, FALSE)</f>
        <v>9.5359332080553083E-2</v>
      </c>
      <c r="O258" s="7">
        <f>_xlfn.NORM.DIST('DATA SIAP'!L257,$E$5,$E$6, FALSE)</f>
        <v>3.4240271021540189E-2</v>
      </c>
      <c r="T258" s="7">
        <f t="shared" si="10"/>
        <v>4.0267663249727135E-6</v>
      </c>
      <c r="U258" s="7">
        <f t="shared" si="11"/>
        <v>3.0978343237931764E-5</v>
      </c>
      <c r="W258" s="7" t="str">
        <f t="shared" si="12"/>
        <v>SEHAT</v>
      </c>
    </row>
    <row r="259" spans="7:23" x14ac:dyDescent="0.25">
      <c r="G259" s="7">
        <f>_xlfn.NORM.DIST('DATA SIAP'!I258,$B$2,$B$3, FALSE)</f>
        <v>1.1020821938349538E-5</v>
      </c>
      <c r="H259" s="7">
        <f>_xlfn.NORM.DIST('DATA SIAP'!J258,$C$2,$C$3, FALSE)</f>
        <v>5.061046720391453E-2</v>
      </c>
      <c r="I259" s="7">
        <f>_xlfn.NORM.DIST('DATA SIAP'!K258,$D$2,$D$3, FALSE)</f>
        <v>0.15083248924656931</v>
      </c>
      <c r="J259" s="7">
        <f>_xlfn.NORM.DIST('DATA SIAP'!L258,$E$2,$E$3, FALSE)</f>
        <v>4.0884270843475373E-2</v>
      </c>
      <c r="L259" s="7">
        <f>_xlfn.NORM.DIST('DATA SIAP'!I258,$B$5,$B$6, FALSE)</f>
        <v>3.8612922769053745E-2</v>
      </c>
      <c r="M259" s="7">
        <f>_xlfn.NORM.DIST('DATA SIAP'!J258,$C$5,$C$6, FALSE)</f>
        <v>5.1549117452228205E-2</v>
      </c>
      <c r="N259" s="7">
        <f>_xlfn.NORM.DIST('DATA SIAP'!K258,$D$5,$D$6, FALSE)</f>
        <v>0.18087822136530166</v>
      </c>
      <c r="O259" s="7">
        <f>_xlfn.NORM.DIST('DATA SIAP'!L258,$E$5,$E$6, FALSE)</f>
        <v>3.9267331598019643E-2</v>
      </c>
      <c r="T259" s="7">
        <f t="shared" ref="T259:T322" si="13">$R$2 * G259 * H259 * I259 * J259</f>
        <v>1.8651246761682575E-9</v>
      </c>
      <c r="U259" s="7">
        <f t="shared" ref="U259:U322" si="14">$R$3 * L259 * M259 * N259 * O259</f>
        <v>6.4713753701782155E-6</v>
      </c>
      <c r="W259" s="7" t="str">
        <f t="shared" si="12"/>
        <v>SEHAT</v>
      </c>
    </row>
    <row r="260" spans="7:23" x14ac:dyDescent="0.25">
      <c r="G260" s="7">
        <f>_xlfn.NORM.DIST('DATA SIAP'!I259,$B$2,$B$3, FALSE)</f>
        <v>3.0170465174960489E-5</v>
      </c>
      <c r="H260" s="7">
        <f>_xlfn.NORM.DIST('DATA SIAP'!J259,$C$2,$C$3, FALSE)</f>
        <v>9.7115001686991193E-2</v>
      </c>
      <c r="I260" s="7">
        <f>_xlfn.NORM.DIST('DATA SIAP'!K259,$D$2,$D$3, FALSE)</f>
        <v>0.16303965166659332</v>
      </c>
      <c r="J260" s="7">
        <f>_xlfn.NORM.DIST('DATA SIAP'!L259,$E$2,$E$3, FALSE)</f>
        <v>1.3968091235696921E-2</v>
      </c>
      <c r="L260" s="7">
        <f>_xlfn.NORM.DIST('DATA SIAP'!I259,$B$5,$B$6, FALSE)</f>
        <v>6.2192132914062538E-2</v>
      </c>
      <c r="M260" s="7">
        <f>_xlfn.NORM.DIST('DATA SIAP'!J259,$C$5,$C$6, FALSE)</f>
        <v>9.1208750568405911E-2</v>
      </c>
      <c r="N260" s="7">
        <f>_xlfn.NORM.DIST('DATA SIAP'!K259,$D$5,$D$6, FALSE)</f>
        <v>0.19394963457395645</v>
      </c>
      <c r="O260" s="7">
        <f>_xlfn.NORM.DIST('DATA SIAP'!L259,$E$5,$E$6, FALSE)</f>
        <v>1.3735881948872446E-2</v>
      </c>
      <c r="T260" s="7">
        <f t="shared" si="13"/>
        <v>3.6182703300754159E-9</v>
      </c>
      <c r="U260" s="7">
        <f t="shared" si="14"/>
        <v>6.9173935656626765E-6</v>
      </c>
      <c r="W260" s="7" t="str">
        <f t="shared" ref="W260:W323" si="15">IF(T261&gt;U261, "ANEMIA", "SEHAT")</f>
        <v>SEHAT</v>
      </c>
    </row>
    <row r="261" spans="7:23" x14ac:dyDescent="0.25">
      <c r="G261" s="7">
        <f>_xlfn.NORM.DIST('DATA SIAP'!I260,$B$2,$B$3, FALSE)</f>
        <v>2.581924396160575E-4</v>
      </c>
      <c r="H261" s="7">
        <f>_xlfn.NORM.DIST('DATA SIAP'!J260,$C$2,$C$3, FALSE)</f>
        <v>2.8166133365184001E-2</v>
      </c>
      <c r="I261" s="7">
        <f>_xlfn.NORM.DIST('DATA SIAP'!K260,$D$2,$D$3, FALSE)</f>
        <v>0.28351038637612513</v>
      </c>
      <c r="J261" s="7">
        <f>_xlfn.NORM.DIST('DATA SIAP'!L260,$E$2,$E$3, FALSE)</f>
        <v>3.1298412176428786E-2</v>
      </c>
      <c r="L261" s="7">
        <f>_xlfn.NORM.DIST('DATA SIAP'!I260,$B$5,$B$6, FALSE)</f>
        <v>0.1496675540108918</v>
      </c>
      <c r="M261" s="7">
        <f>_xlfn.NORM.DIST('DATA SIAP'!J260,$C$5,$C$6, FALSE)</f>
        <v>3.0906099393347899E-2</v>
      </c>
      <c r="N261" s="7">
        <f>_xlfn.NORM.DIST('DATA SIAP'!K260,$D$5,$D$6, FALSE)</f>
        <v>0.2834167413939313</v>
      </c>
      <c r="O261" s="7">
        <f>_xlfn.NORM.DIST('DATA SIAP'!L260,$E$5,$E$6, FALSE)</f>
        <v>3.1882438271472101E-2</v>
      </c>
      <c r="T261" s="7">
        <f t="shared" si="13"/>
        <v>3.4991649269017469E-8</v>
      </c>
      <c r="U261" s="7">
        <f t="shared" si="14"/>
        <v>1.9132595872419412E-5</v>
      </c>
      <c r="W261" s="7" t="str">
        <f t="shared" si="15"/>
        <v>SEHAT</v>
      </c>
    </row>
    <row r="262" spans="7:23" x14ac:dyDescent="0.25">
      <c r="G262" s="7">
        <f>_xlfn.NORM.DIST('DATA SIAP'!I261,$B$2,$B$3, FALSE)</f>
        <v>1.748545125674552E-2</v>
      </c>
      <c r="H262" s="7">
        <f>_xlfn.NORM.DIST('DATA SIAP'!J261,$C$2,$C$3, FALSE)</f>
        <v>4.7483818773789224E-2</v>
      </c>
      <c r="I262" s="7">
        <f>_xlfn.NORM.DIST('DATA SIAP'!K261,$D$2,$D$3, FALSE)</f>
        <v>0.18761229391009854</v>
      </c>
      <c r="J262" s="7">
        <f>_xlfn.NORM.DIST('DATA SIAP'!L261,$E$2,$E$3, FALSE)</f>
        <v>4.1780199272262432E-2</v>
      </c>
      <c r="L262" s="7">
        <f>_xlfn.NORM.DIST('DATA SIAP'!I261,$B$5,$B$6, FALSE)</f>
        <v>0.31813827532295402</v>
      </c>
      <c r="M262" s="7">
        <f>_xlfn.NORM.DIST('DATA SIAP'!J261,$C$5,$C$6, FALSE)</f>
        <v>4.875642378770937E-2</v>
      </c>
      <c r="N262" s="7">
        <f>_xlfn.NORM.DIST('DATA SIAP'!K261,$D$5,$D$6, FALSE)</f>
        <v>0.21939825426614995</v>
      </c>
      <c r="O262" s="7">
        <f>_xlfn.NORM.DIST('DATA SIAP'!L261,$E$5,$E$6, FALSE)</f>
        <v>3.9852468442435292E-2</v>
      </c>
      <c r="T262" s="7">
        <f t="shared" si="13"/>
        <v>3.5290406835384973E-6</v>
      </c>
      <c r="U262" s="7">
        <f t="shared" si="14"/>
        <v>6.208135281077142E-5</v>
      </c>
      <c r="W262" s="7" t="str">
        <f t="shared" si="15"/>
        <v>SEHAT</v>
      </c>
    </row>
    <row r="263" spans="7:23" x14ac:dyDescent="0.25">
      <c r="G263" s="7">
        <f>_xlfn.NORM.DIST('DATA SIAP'!I262,$B$2,$B$3, FALSE)</f>
        <v>2.0914816537887824E-2</v>
      </c>
      <c r="H263" s="7">
        <f>_xlfn.NORM.DIST('DATA SIAP'!J262,$C$2,$C$3, FALSE)</f>
        <v>9.6280187164627704E-2</v>
      </c>
      <c r="I263" s="7">
        <f>_xlfn.NORM.DIST('DATA SIAP'!K262,$D$2,$D$3, FALSE)</f>
        <v>0.26838104088565923</v>
      </c>
      <c r="J263" s="7">
        <f>_xlfn.NORM.DIST('DATA SIAP'!L262,$E$2,$E$3, FALSE)</f>
        <v>2.8540947525619059E-2</v>
      </c>
      <c r="L263" s="7">
        <f>_xlfn.NORM.DIST('DATA SIAP'!I262,$B$5,$B$6, FALSE)</f>
        <v>0.31133554004162617</v>
      </c>
      <c r="M263" s="7">
        <f>_xlfn.NORM.DIST('DATA SIAP'!J262,$C$5,$C$6, FALSE)</f>
        <v>9.0837838415519276E-2</v>
      </c>
      <c r="N263" s="7">
        <f>_xlfn.NORM.DIST('DATA SIAP'!K262,$D$5,$D$6, FALSE)</f>
        <v>0.28924177494405268</v>
      </c>
      <c r="O263" s="7">
        <f>_xlfn.NORM.DIST('DATA SIAP'!L262,$E$5,$E$6, FALSE)</f>
        <v>2.9575454081846305E-2</v>
      </c>
      <c r="T263" s="7">
        <f t="shared" si="13"/>
        <v>8.3639915618831293E-6</v>
      </c>
      <c r="U263" s="7">
        <f t="shared" si="14"/>
        <v>1.1074214782569323E-4</v>
      </c>
      <c r="W263" s="7" t="str">
        <f t="shared" si="15"/>
        <v>SEHAT</v>
      </c>
    </row>
    <row r="264" spans="7:23" x14ac:dyDescent="0.25">
      <c r="G264" s="7">
        <f>_xlfn.NORM.DIST('DATA SIAP'!I263,$B$2,$B$3, FALSE)</f>
        <v>2.9407058498165824E-2</v>
      </c>
      <c r="H264" s="7">
        <f>_xlfn.NORM.DIST('DATA SIAP'!J263,$C$2,$C$3, FALSE)</f>
        <v>0.10216163444040036</v>
      </c>
      <c r="I264" s="7">
        <f>_xlfn.NORM.DIST('DATA SIAP'!K263,$D$2,$D$3, FALSE)</f>
        <v>0.12248570720321851</v>
      </c>
      <c r="J264" s="7">
        <f>_xlfn.NORM.DIST('DATA SIAP'!L263,$E$2,$E$3, FALSE)</f>
        <v>3.9260678864085477E-2</v>
      </c>
      <c r="L264" s="7">
        <f>_xlfn.NORM.DIST('DATA SIAP'!I263,$B$5,$B$6, FALSE)</f>
        <v>0.29224323073070041</v>
      </c>
      <c r="M264" s="7">
        <f>_xlfn.NORM.DIST('DATA SIAP'!J263,$C$5,$C$6, FALSE)</f>
        <v>9.5554560660704488E-2</v>
      </c>
      <c r="N264" s="7">
        <f>_xlfn.NORM.DIST('DATA SIAP'!K263,$D$5,$D$6, FALSE)</f>
        <v>9.2733895700821981E-2</v>
      </c>
      <c r="O264" s="7">
        <f>_xlfn.NORM.DIST('DATA SIAP'!L263,$E$5,$E$6, FALSE)</f>
        <v>3.629178505168304E-2</v>
      </c>
      <c r="T264" s="7">
        <f t="shared" si="13"/>
        <v>7.8340261612927738E-6</v>
      </c>
      <c r="U264" s="7">
        <f t="shared" si="14"/>
        <v>4.3019734646591386E-5</v>
      </c>
      <c r="W264" s="7" t="str">
        <f t="shared" si="15"/>
        <v>SEHAT</v>
      </c>
    </row>
    <row r="265" spans="7:23" x14ac:dyDescent="0.25">
      <c r="G265" s="7">
        <f>_xlfn.NORM.DIST('DATA SIAP'!I264,$B$2,$B$3, FALSE)</f>
        <v>5.2858549075253704E-3</v>
      </c>
      <c r="H265" s="7">
        <f>_xlfn.NORM.DIST('DATA SIAP'!J264,$C$2,$C$3, FALSE)</f>
        <v>2.5995567843395465E-2</v>
      </c>
      <c r="I265" s="7">
        <f>_xlfn.NORM.DIST('DATA SIAP'!K264,$D$2,$D$3, FALSE)</f>
        <v>9.470219971360351E-2</v>
      </c>
      <c r="J265" s="7">
        <f>_xlfn.NORM.DIST('DATA SIAP'!L264,$E$2,$E$3, FALSE)</f>
        <v>3.2103345727641522E-2</v>
      </c>
      <c r="L265" s="7">
        <f>_xlfn.NORM.DIST('DATA SIAP'!I264,$B$5,$B$6, FALSE)</f>
        <v>0.31475359474046671</v>
      </c>
      <c r="M265" s="7">
        <f>_xlfn.NORM.DIST('DATA SIAP'!J264,$C$5,$C$6, FALSE)</f>
        <v>2.9257200308458728E-2</v>
      </c>
      <c r="N265" s="7">
        <f>_xlfn.NORM.DIST('DATA SIAP'!K264,$D$5,$D$6, FALSE)</f>
        <v>0.1176432423163154</v>
      </c>
      <c r="O265" s="7">
        <f>_xlfn.NORM.DIST('DATA SIAP'!L264,$E$5,$E$6, FALSE)</f>
        <v>3.2543691331192372E-2</v>
      </c>
      <c r="T265" s="7">
        <f t="shared" si="13"/>
        <v>2.2653081623695868E-7</v>
      </c>
      <c r="U265" s="7">
        <f t="shared" si="14"/>
        <v>1.6138466819161757E-5</v>
      </c>
      <c r="W265" s="7" t="str">
        <f t="shared" si="15"/>
        <v>SEHAT</v>
      </c>
    </row>
    <row r="266" spans="7:23" x14ac:dyDescent="0.25">
      <c r="G266" s="7">
        <f>_xlfn.NORM.DIST('DATA SIAP'!I265,$B$2,$B$3, FALSE)</f>
        <v>1.5506803851852392E-5</v>
      </c>
      <c r="H266" s="7">
        <f>_xlfn.NORM.DIST('DATA SIAP'!J265,$C$2,$C$3, FALSE)</f>
        <v>0.10381084285026893</v>
      </c>
      <c r="I266" s="7">
        <f>_xlfn.NORM.DIST('DATA SIAP'!K265,$D$2,$D$3, FALSE)</f>
        <v>0.27431225568526008</v>
      </c>
      <c r="J266" s="7">
        <f>_xlfn.NORM.DIST('DATA SIAP'!L265,$E$2,$E$3, FALSE)</f>
        <v>9.6704989457077634E-3</v>
      </c>
      <c r="L266" s="7">
        <f>_xlfn.NORM.DIST('DATA SIAP'!I265,$B$5,$B$6, FALSE)</f>
        <v>4.5565576159052767E-2</v>
      </c>
      <c r="M266" s="7">
        <f>_xlfn.NORM.DIST('DATA SIAP'!J265,$C$5,$C$6, FALSE)</f>
        <v>9.6825929758144746E-2</v>
      </c>
      <c r="N266" s="7">
        <f>_xlfn.NORM.DIST('DATA SIAP'!K265,$D$5,$D$6, FALSE)</f>
        <v>0.29219497405814265</v>
      </c>
      <c r="O266" s="7">
        <f>_xlfn.NORM.DIST('DATA SIAP'!L265,$E$5,$E$6, FALSE)</f>
        <v>1.194236375108941E-2</v>
      </c>
      <c r="T266" s="7">
        <f t="shared" si="13"/>
        <v>2.3155890366206083E-9</v>
      </c>
      <c r="U266" s="7">
        <f t="shared" si="14"/>
        <v>7.0471999032110893E-6</v>
      </c>
      <c r="W266" s="7" t="str">
        <f t="shared" si="15"/>
        <v>SEHAT</v>
      </c>
    </row>
    <row r="267" spans="7:23" x14ac:dyDescent="0.25">
      <c r="G267" s="7">
        <f>_xlfn.NORM.DIST('DATA SIAP'!I266,$B$2,$B$3, FALSE)</f>
        <v>1.0653046445444827E-4</v>
      </c>
      <c r="H267" s="7">
        <f>_xlfn.NORM.DIST('DATA SIAP'!J266,$C$2,$C$3, FALSE)</f>
        <v>4.4612571233796555E-2</v>
      </c>
      <c r="I267" s="7">
        <f>_xlfn.NORM.DIST('DATA SIAP'!K266,$D$2,$D$3, FALSE)</f>
        <v>0.22939862492988175</v>
      </c>
      <c r="J267" s="7">
        <f>_xlfn.NORM.DIST('DATA SIAP'!L266,$E$2,$E$3, FALSE)</f>
        <v>4.2003659763094746E-2</v>
      </c>
      <c r="L267" s="7">
        <f>_xlfn.NORM.DIST('DATA SIAP'!I266,$B$5,$B$6, FALSE)</f>
        <v>0.1069284928063705</v>
      </c>
      <c r="M267" s="7">
        <f>_xlfn.NORM.DIST('DATA SIAP'!J266,$C$5,$C$6, FALSE)</f>
        <v>4.6720968910653693E-2</v>
      </c>
      <c r="N267" s="7">
        <f>_xlfn.NORM.DIST('DATA SIAP'!K266,$D$5,$D$6, FALSE)</f>
        <v>0.20362742527633393</v>
      </c>
      <c r="O267" s="7">
        <f>_xlfn.NORM.DIST('DATA SIAP'!L266,$E$5,$E$6, FALSE)</f>
        <v>3.897015811231392E-2</v>
      </c>
      <c r="T267" s="7">
        <f t="shared" si="13"/>
        <v>2.4831982753274954E-8</v>
      </c>
      <c r="U267" s="7">
        <f t="shared" si="14"/>
        <v>1.8146744982338963E-5</v>
      </c>
      <c r="W267" s="7" t="str">
        <f t="shared" si="15"/>
        <v>SEHAT</v>
      </c>
    </row>
    <row r="268" spans="7:23" x14ac:dyDescent="0.25">
      <c r="G268" s="7">
        <f>_xlfn.NORM.DIST('DATA SIAP'!I267,$B$2,$B$3, FALSE)</f>
        <v>1.8318416623467915E-6</v>
      </c>
      <c r="H268" s="7">
        <f>_xlfn.NORM.DIST('DATA SIAP'!J267,$C$2,$C$3, FALSE)</f>
        <v>4.0009173504538843E-2</v>
      </c>
      <c r="I268" s="7">
        <f>_xlfn.NORM.DIST('DATA SIAP'!K267,$D$2,$D$3, FALSE)</f>
        <v>0.18263025300630079</v>
      </c>
      <c r="J268" s="7">
        <f>_xlfn.NORM.DIST('DATA SIAP'!L267,$E$2,$E$3, FALSE)</f>
        <v>4.300270231425251E-2</v>
      </c>
      <c r="L268" s="7">
        <f>_xlfn.NORM.DIST('DATA SIAP'!I267,$B$5,$B$6, FALSE)</f>
        <v>1.5263803158104642E-2</v>
      </c>
      <c r="M268" s="7">
        <f>_xlfn.NORM.DIST('DATA SIAP'!J267,$C$5,$C$6, FALSE)</f>
        <v>4.1983625779858522E-2</v>
      </c>
      <c r="N268" s="7">
        <f>_xlfn.NORM.DIST('DATA SIAP'!K267,$D$5,$D$6, FALSE)</f>
        <v>0.15154872267578176</v>
      </c>
      <c r="O268" s="7">
        <f>_xlfn.NORM.DIST('DATA SIAP'!L267,$E$5,$E$6, FALSE)</f>
        <v>4.0452616403651054E-2</v>
      </c>
      <c r="T268" s="7">
        <f t="shared" si="13"/>
        <v>3.1211767375037989E-10</v>
      </c>
      <c r="U268" s="7">
        <f t="shared" si="14"/>
        <v>1.7983184825082902E-6</v>
      </c>
      <c r="W268" s="7" t="str">
        <f t="shared" si="15"/>
        <v>SEHAT</v>
      </c>
    </row>
    <row r="269" spans="7:23" x14ac:dyDescent="0.25">
      <c r="G269" s="7">
        <f>_xlfn.NORM.DIST('DATA SIAP'!I268,$B$2,$B$3, FALSE)</f>
        <v>2.6873756118412514E-3</v>
      </c>
      <c r="H269" s="7">
        <f>_xlfn.NORM.DIST('DATA SIAP'!J268,$C$2,$C$3, FALSE)</f>
        <v>9.0756897818902435E-2</v>
      </c>
      <c r="I269" s="7">
        <f>_xlfn.NORM.DIST('DATA SIAP'!K268,$D$2,$D$3, FALSE)</f>
        <v>0.12248570720321851</v>
      </c>
      <c r="J269" s="7">
        <f>_xlfn.NORM.DIST('DATA SIAP'!L268,$E$2,$E$3, FALSE)</f>
        <v>1.3297897480871283E-2</v>
      </c>
      <c r="L269" s="7">
        <f>_xlfn.NORM.DIST('DATA SIAP'!I268,$B$5,$B$6, FALSE)</f>
        <v>0.28605794420747072</v>
      </c>
      <c r="M269" s="7">
        <f>_xlfn.NORM.DIST('DATA SIAP'!J268,$C$5,$C$6, FALSE)</f>
        <v>8.6339459663688722E-2</v>
      </c>
      <c r="N269" s="7">
        <f>_xlfn.NORM.DIST('DATA SIAP'!K268,$D$5,$D$6, FALSE)</f>
        <v>9.2733895700821981E-2</v>
      </c>
      <c r="O269" s="7">
        <f>_xlfn.NORM.DIST('DATA SIAP'!L268,$E$5,$E$6, FALSE)</f>
        <v>1.3129195485653162E-2</v>
      </c>
      <c r="T269" s="7">
        <f t="shared" si="13"/>
        <v>2.1541641283793236E-7</v>
      </c>
      <c r="U269" s="7">
        <f t="shared" si="14"/>
        <v>1.3764643609903998E-5</v>
      </c>
      <c r="W269" s="7" t="str">
        <f t="shared" si="15"/>
        <v>SEHAT</v>
      </c>
    </row>
    <row r="270" spans="7:23" x14ac:dyDescent="0.25">
      <c r="G270" s="7">
        <f>_xlfn.NORM.DIST('DATA SIAP'!I269,$B$2,$B$3, FALSE)</f>
        <v>4.6941354546412226E-2</v>
      </c>
      <c r="H270" s="7">
        <f>_xlfn.NORM.DIST('DATA SIAP'!J269,$C$2,$C$3, FALSE)</f>
        <v>0.10260832370383424</v>
      </c>
      <c r="I270" s="7">
        <f>_xlfn.NORM.DIST('DATA SIAP'!K269,$D$2,$D$3, FALSE)</f>
        <v>0.10074504551950023</v>
      </c>
      <c r="J270" s="7">
        <f>_xlfn.NORM.DIST('DATA SIAP'!L269,$E$2,$E$3, FALSE)</f>
        <v>2.7135702636909807E-2</v>
      </c>
      <c r="L270" s="7">
        <f>_xlfn.NORM.DIST('DATA SIAP'!I269,$B$5,$B$6, FALSE)</f>
        <v>0.25278052747242452</v>
      </c>
      <c r="M270" s="7">
        <f>_xlfn.NORM.DIST('DATA SIAP'!J269,$C$5,$C$6, FALSE)</f>
        <v>9.5906469505890934E-2</v>
      </c>
      <c r="N270" s="7">
        <f>_xlfn.NORM.DIST('DATA SIAP'!K269,$D$5,$D$6, FALSE)</f>
        <v>7.3356217047997774E-2</v>
      </c>
      <c r="O270" s="7">
        <f>_xlfn.NORM.DIST('DATA SIAP'!L269,$E$5,$E$6, FALSE)</f>
        <v>2.8375717646180847E-2</v>
      </c>
      <c r="T270" s="7">
        <f t="shared" si="13"/>
        <v>7.1401175183218063E-6</v>
      </c>
      <c r="U270" s="7">
        <f t="shared" si="14"/>
        <v>2.3099379447978748E-5</v>
      </c>
      <c r="W270" s="7" t="str">
        <f t="shared" si="15"/>
        <v>SEHAT</v>
      </c>
    </row>
    <row r="271" spans="7:23" x14ac:dyDescent="0.25">
      <c r="G271" s="7">
        <f>_xlfn.NORM.DIST('DATA SIAP'!I270,$B$2,$B$3, FALSE)</f>
        <v>1.9333296963838046E-4</v>
      </c>
      <c r="H271" s="7">
        <f>_xlfn.NORM.DIST('DATA SIAP'!J270,$C$2,$C$3, FALSE)</f>
        <v>2.5995567843395465E-2</v>
      </c>
      <c r="I271" s="7">
        <f>_xlfn.NORM.DIST('DATA SIAP'!K270,$D$2,$D$3, FALSE)</f>
        <v>0.19482359643262351</v>
      </c>
      <c r="J271" s="7">
        <f>_xlfn.NORM.DIST('DATA SIAP'!L270,$E$2,$E$3, FALSE)</f>
        <v>4.1555912378453408E-2</v>
      </c>
      <c r="L271" s="7">
        <f>_xlfn.NORM.DIST('DATA SIAP'!I270,$B$5,$B$6, FALSE)</f>
        <v>0.13469542778683938</v>
      </c>
      <c r="M271" s="7">
        <f>_xlfn.NORM.DIST('DATA SIAP'!J270,$C$5,$C$6, FALSE)</f>
        <v>2.9257200308458728E-2</v>
      </c>
      <c r="N271" s="7">
        <f>_xlfn.NORM.DIST('DATA SIAP'!K270,$D$5,$D$6, FALSE)</f>
        <v>0.16449544010737174</v>
      </c>
      <c r="O271" s="7">
        <f>_xlfn.NORM.DIST('DATA SIAP'!L270,$E$5,$E$6, FALSE)</f>
        <v>3.8508934065259813E-2</v>
      </c>
      <c r="T271" s="7">
        <f t="shared" si="13"/>
        <v>2.2063885201332014E-8</v>
      </c>
      <c r="U271" s="7">
        <f t="shared" si="14"/>
        <v>1.1426835946385412E-5</v>
      </c>
      <c r="W271" s="7" t="str">
        <f t="shared" si="15"/>
        <v>SEHAT</v>
      </c>
    </row>
    <row r="272" spans="7:23" x14ac:dyDescent="0.25">
      <c r="G272" s="7">
        <f>_xlfn.NORM.DIST('DATA SIAP'!I271,$B$2,$B$3, FALSE)</f>
        <v>0.11410407611236259</v>
      </c>
      <c r="H272" s="7">
        <f>_xlfn.NORM.DIST('DATA SIAP'!J271,$C$2,$C$3, FALSE)</f>
        <v>4.1637046730842078E-2</v>
      </c>
      <c r="I272" s="7">
        <f>_xlfn.NORM.DIST('DATA SIAP'!K271,$D$2,$D$3, FALSE)</f>
        <v>0.16303965166659332</v>
      </c>
      <c r="J272" s="7">
        <f>_xlfn.NORM.DIST('DATA SIAP'!L271,$E$2,$E$3, FALSE)</f>
        <v>2.7439448646940881E-2</v>
      </c>
      <c r="L272" s="7">
        <f>_xlfn.NORM.DIST('DATA SIAP'!I271,$B$5,$B$6, FALSE)</f>
        <v>0.14260257889943467</v>
      </c>
      <c r="M272" s="7">
        <f>_xlfn.NORM.DIST('DATA SIAP'!J271,$C$5,$C$6, FALSE)</f>
        <v>4.4009140975046282E-2</v>
      </c>
      <c r="N272" s="7">
        <f>_xlfn.NORM.DIST('DATA SIAP'!K271,$D$5,$D$6, FALSE)</f>
        <v>0.19394963457395645</v>
      </c>
      <c r="O272" s="7">
        <f>_xlfn.NORM.DIST('DATA SIAP'!L271,$E$5,$E$6, FALSE)</f>
        <v>2.5696962302378931E-2</v>
      </c>
      <c r="T272" s="7">
        <f t="shared" si="13"/>
        <v>1.152529570817028E-5</v>
      </c>
      <c r="U272" s="7">
        <f t="shared" si="14"/>
        <v>1.4317461912741059E-5</v>
      </c>
      <c r="W272" s="7" t="str">
        <f t="shared" si="15"/>
        <v>SEHAT</v>
      </c>
    </row>
    <row r="273" spans="7:23" x14ac:dyDescent="0.25">
      <c r="G273" s="7">
        <f>_xlfn.NORM.DIST('DATA SIAP'!I272,$B$2,$B$3, FALSE)</f>
        <v>1.6629363345762728E-3</v>
      </c>
      <c r="H273" s="7">
        <f>_xlfn.NORM.DIST('DATA SIAP'!J272,$C$2,$C$3, FALSE)</f>
        <v>0.10369262057512099</v>
      </c>
      <c r="I273" s="7">
        <f>_xlfn.NORM.DIST('DATA SIAP'!K272,$D$2,$D$3, FALSE)</f>
        <v>0.21834869514136626</v>
      </c>
      <c r="J273" s="7">
        <f>_xlfn.NORM.DIST('DATA SIAP'!L272,$E$2,$E$3, FALSE)</f>
        <v>4.1995640306042137E-2</v>
      </c>
      <c r="L273" s="7">
        <f>_xlfn.NORM.DIST('DATA SIAP'!I272,$B$5,$B$6, FALSE)</f>
        <v>0.25957322872828414</v>
      </c>
      <c r="M273" s="7">
        <f>_xlfn.NORM.DIST('DATA SIAP'!J272,$C$5,$C$6, FALSE)</f>
        <v>9.669566850487403E-2</v>
      </c>
      <c r="N273" s="7">
        <f>_xlfn.NORM.DIST('DATA SIAP'!K272,$D$5,$D$6, FALSE)</f>
        <v>0.19067592347995771</v>
      </c>
      <c r="O273" s="7">
        <f>_xlfn.NORM.DIST('DATA SIAP'!L272,$E$5,$E$6, FALSE)</f>
        <v>3.9984228905697201E-2</v>
      </c>
      <c r="T273" s="7">
        <f t="shared" si="13"/>
        <v>8.5739443815434389E-7</v>
      </c>
      <c r="U273" s="7">
        <f t="shared" si="14"/>
        <v>8.7594434897076185E-5</v>
      </c>
      <c r="W273" s="7" t="str">
        <f t="shared" si="15"/>
        <v>SEHAT</v>
      </c>
    </row>
    <row r="274" spans="7:23" x14ac:dyDescent="0.25">
      <c r="G274" s="7">
        <f>_xlfn.NORM.DIST('DATA SIAP'!I273,$B$2,$B$3, FALSE)</f>
        <v>1.748545125674552E-2</v>
      </c>
      <c r="H274" s="7">
        <f>_xlfn.NORM.DIST('DATA SIAP'!J273,$C$2,$C$3, FALSE)</f>
        <v>7.8191418230321164E-2</v>
      </c>
      <c r="I274" s="7">
        <f>_xlfn.NORM.DIST('DATA SIAP'!K273,$D$2,$D$3, FALSE)</f>
        <v>0.19972434609323236</v>
      </c>
      <c r="J274" s="7">
        <f>_xlfn.NORM.DIST('DATA SIAP'!L273,$E$2,$E$3, FALSE)</f>
        <v>4.1025433435419922E-2</v>
      </c>
      <c r="L274" s="7">
        <f>_xlfn.NORM.DIST('DATA SIAP'!I273,$B$5,$B$6, FALSE)</f>
        <v>0.31813827532295402</v>
      </c>
      <c r="M274" s="7">
        <f>_xlfn.NORM.DIST('DATA SIAP'!J273,$C$5,$C$6, FALSE)</f>
        <v>7.5924784192097403E-2</v>
      </c>
      <c r="N274" s="7">
        <f>_xlfn.NORM.DIST('DATA SIAP'!K273,$D$5,$D$6, FALSE)</f>
        <v>0.23145932521706172</v>
      </c>
      <c r="O274" s="7">
        <f>_xlfn.NORM.DIST('DATA SIAP'!L273,$E$5,$E$6, FALSE)</f>
        <v>3.9362533383596153E-2</v>
      </c>
      <c r="T274" s="7">
        <f t="shared" si="13"/>
        <v>6.0746673669829691E-6</v>
      </c>
      <c r="U274" s="7">
        <f t="shared" si="14"/>
        <v>1.0073542555117603E-4</v>
      </c>
      <c r="W274" s="7" t="str">
        <f t="shared" si="15"/>
        <v>SEHAT</v>
      </c>
    </row>
    <row r="275" spans="7:23" x14ac:dyDescent="0.25">
      <c r="G275" s="7">
        <f>_xlfn.NORM.DIST('DATA SIAP'!I274,$B$2,$B$3, FALSE)</f>
        <v>3.0170465174960489E-5</v>
      </c>
      <c r="H275" s="7">
        <f>_xlfn.NORM.DIST('DATA SIAP'!J274,$C$2,$C$3, FALSE)</f>
        <v>6.6843499297558159E-2</v>
      </c>
      <c r="I275" s="7">
        <f>_xlfn.NORM.DIST('DATA SIAP'!K274,$D$2,$D$3, FALSE)</f>
        <v>0.18761229391009854</v>
      </c>
      <c r="J275" s="7">
        <f>_xlfn.NORM.DIST('DATA SIAP'!L274,$E$2,$E$3, FALSE)</f>
        <v>3.2632391932211145E-2</v>
      </c>
      <c r="L275" s="7">
        <f>_xlfn.NORM.DIST('DATA SIAP'!I274,$B$5,$B$6, FALSE)</f>
        <v>6.2192132914062538E-2</v>
      </c>
      <c r="M275" s="7">
        <f>_xlfn.NORM.DIST('DATA SIAP'!J274,$C$5,$C$6, FALSE)</f>
        <v>6.5737562361085577E-2</v>
      </c>
      <c r="N275" s="7">
        <f>_xlfn.NORM.DIST('DATA SIAP'!K274,$D$5,$D$6, FALSE)</f>
        <v>0.21939825426614995</v>
      </c>
      <c r="O275" s="7">
        <f>_xlfn.NORM.DIST('DATA SIAP'!L274,$E$5,$E$6, FALSE)</f>
        <v>3.2975171777850483E-2</v>
      </c>
      <c r="T275" s="7">
        <f t="shared" si="13"/>
        <v>6.6950491010964764E-9</v>
      </c>
      <c r="U275" s="7">
        <f t="shared" si="14"/>
        <v>1.3539240218046249E-5</v>
      </c>
      <c r="W275" s="7" t="str">
        <f t="shared" si="15"/>
        <v>SEHAT</v>
      </c>
    </row>
    <row r="276" spans="7:23" x14ac:dyDescent="0.25">
      <c r="G276" s="7">
        <f>_xlfn.NORM.DIST('DATA SIAP'!I275,$B$2,$B$3, FALSE)</f>
        <v>6.2282131541449362E-2</v>
      </c>
      <c r="H276" s="7">
        <f>_xlfn.NORM.DIST('DATA SIAP'!J275,$C$2,$C$3, FALSE)</f>
        <v>4.0009173504538843E-2</v>
      </c>
      <c r="I276" s="7">
        <f>_xlfn.NORM.DIST('DATA SIAP'!K275,$D$2,$D$3, FALSE)</f>
        <v>7.5864629322429281E-2</v>
      </c>
      <c r="J276" s="7">
        <f>_xlfn.NORM.DIST('DATA SIAP'!L275,$E$2,$E$3, FALSE)</f>
        <v>1.023696655722252E-2</v>
      </c>
      <c r="L276" s="7">
        <f>_xlfn.NORM.DIST('DATA SIAP'!I275,$B$5,$B$6, FALSE)</f>
        <v>0.22193547602789976</v>
      </c>
      <c r="M276" s="7">
        <f>_xlfn.NORM.DIST('DATA SIAP'!J275,$C$5,$C$6, FALSE)</f>
        <v>4.1983625779858522E-2</v>
      </c>
      <c r="N276" s="7">
        <f>_xlfn.NORM.DIST('DATA SIAP'!K275,$D$5,$D$6, FALSE)</f>
        <v>9.5359332080553083E-2</v>
      </c>
      <c r="O276" s="7">
        <f>_xlfn.NORM.DIST('DATA SIAP'!L275,$E$5,$E$6, FALSE)</f>
        <v>1.0330413117694301E-2</v>
      </c>
      <c r="T276" s="7">
        <f t="shared" si="13"/>
        <v>1.0493879015326377E-6</v>
      </c>
      <c r="U276" s="7">
        <f t="shared" si="14"/>
        <v>4.2015793855618317E-6</v>
      </c>
      <c r="W276" s="7" t="str">
        <f t="shared" si="15"/>
        <v>SEHAT</v>
      </c>
    </row>
    <row r="277" spans="7:23" x14ac:dyDescent="0.25">
      <c r="G277" s="7">
        <f>_xlfn.NORM.DIST('DATA SIAP'!I276,$B$2,$B$3, FALSE)</f>
        <v>2.1692601274142995E-5</v>
      </c>
      <c r="H277" s="7">
        <f>_xlfn.NORM.DIST('DATA SIAP'!J276,$C$2,$C$3, FALSE)</f>
        <v>9.5153178986108602E-2</v>
      </c>
      <c r="I277" s="7">
        <f>_xlfn.NORM.DIST('DATA SIAP'!K276,$D$2,$D$3, FALSE)</f>
        <v>0.24936908005607247</v>
      </c>
      <c r="J277" s="7">
        <f>_xlfn.NORM.DIST('DATA SIAP'!L276,$E$2,$E$3, FALSE)</f>
        <v>2.856275440562573E-2</v>
      </c>
      <c r="L277" s="7">
        <f>_xlfn.NORM.DIST('DATA SIAP'!I276,$B$5,$B$6, FALSE)</f>
        <v>5.3411870965943915E-2</v>
      </c>
      <c r="M277" s="7">
        <f>_xlfn.NORM.DIST('DATA SIAP'!J276,$C$5,$C$6, FALSE)</f>
        <v>8.9582947768660035E-2</v>
      </c>
      <c r="N277" s="7">
        <f>_xlfn.NORM.DIST('DATA SIAP'!K276,$D$5,$D$6, FALSE)</f>
        <v>0.22848406731540458</v>
      </c>
      <c r="O277" s="7">
        <f>_xlfn.NORM.DIST('DATA SIAP'!L276,$E$5,$E$6, FALSE)</f>
        <v>2.6687334078852761E-2</v>
      </c>
      <c r="T277" s="7">
        <f t="shared" si="13"/>
        <v>7.9722334117272672E-9</v>
      </c>
      <c r="U277" s="7">
        <f t="shared" si="14"/>
        <v>1.3355165241776318E-5</v>
      </c>
      <c r="W277" s="7" t="str">
        <f t="shared" si="15"/>
        <v>SEHAT</v>
      </c>
    </row>
    <row r="278" spans="7:23" x14ac:dyDescent="0.25">
      <c r="G278" s="7">
        <f>_xlfn.NORM.DIST('DATA SIAP'!I277,$B$2,$B$3, FALSE)</f>
        <v>1.7561869130655636E-7</v>
      </c>
      <c r="H278" s="7">
        <f>_xlfn.NORM.DIST('DATA SIAP'!J277,$C$2,$C$3, FALSE)</f>
        <v>0.10381084285026893</v>
      </c>
      <c r="I278" s="7">
        <f>_xlfn.NORM.DIST('DATA SIAP'!K277,$D$2,$D$3, FALSE)</f>
        <v>9.470219971360351E-2</v>
      </c>
      <c r="J278" s="7">
        <f>_xlfn.NORM.DIST('DATA SIAP'!L277,$E$2,$E$3, FALSE)</f>
        <v>2.4878386214601155E-2</v>
      </c>
      <c r="L278" s="7">
        <f>_xlfn.NORM.DIST('DATA SIAP'!I277,$B$5,$B$6, FALSE)</f>
        <v>4.0194915237188027E-3</v>
      </c>
      <c r="M278" s="7">
        <f>_xlfn.NORM.DIST('DATA SIAP'!J277,$C$5,$C$6, FALSE)</f>
        <v>9.6825929758144746E-2</v>
      </c>
      <c r="N278" s="7">
        <f>_xlfn.NORM.DIST('DATA SIAP'!K277,$D$5,$D$6, FALSE)</f>
        <v>0.1176432423163154</v>
      </c>
      <c r="O278" s="7">
        <f>_xlfn.NORM.DIST('DATA SIAP'!L277,$E$5,$E$6, FALSE)</f>
        <v>2.641493544589664E-2</v>
      </c>
      <c r="T278" s="7">
        <f t="shared" si="13"/>
        <v>2.3291534767197586E-11</v>
      </c>
      <c r="U278" s="7">
        <f t="shared" si="14"/>
        <v>5.5361053302430589E-7</v>
      </c>
      <c r="W278" s="7" t="str">
        <f t="shared" si="15"/>
        <v>SEHAT</v>
      </c>
    </row>
    <row r="279" spans="7:23" x14ac:dyDescent="0.25">
      <c r="G279" s="7">
        <f>_xlfn.NORM.DIST('DATA SIAP'!I278,$B$2,$B$3, FALSE)</f>
        <v>1.748545125674552E-2</v>
      </c>
      <c r="H279" s="7">
        <f>_xlfn.NORM.DIST('DATA SIAP'!J278,$C$2,$C$3, FALSE)</f>
        <v>6.6843499297558159E-2</v>
      </c>
      <c r="I279" s="7">
        <f>_xlfn.NORM.DIST('DATA SIAP'!K278,$D$2,$D$3, FALSE)</f>
        <v>0.28223010825692313</v>
      </c>
      <c r="J279" s="7">
        <f>_xlfn.NORM.DIST('DATA SIAP'!L278,$E$2,$E$3, FALSE)</f>
        <v>4.1546467345609676E-2</v>
      </c>
      <c r="L279" s="7">
        <f>_xlfn.NORM.DIST('DATA SIAP'!I278,$B$5,$B$6, FALSE)</f>
        <v>0.31813827532295402</v>
      </c>
      <c r="M279" s="7">
        <f>_xlfn.NORM.DIST('DATA SIAP'!J278,$C$5,$C$6, FALSE)</f>
        <v>6.5737562361085577E-2</v>
      </c>
      <c r="N279" s="7">
        <f>_xlfn.NORM.DIST('DATA SIAP'!K278,$D$5,$D$6, FALSE)</f>
        <v>0.29338304844726315</v>
      </c>
      <c r="O279" s="7">
        <f>_xlfn.NORM.DIST('DATA SIAP'!L278,$E$5,$E$6, FALSE)</f>
        <v>3.9704809183221605E-2</v>
      </c>
      <c r="T279" s="7">
        <f t="shared" si="13"/>
        <v>7.431489139876987E-6</v>
      </c>
      <c r="U279" s="7">
        <f t="shared" si="14"/>
        <v>1.1151483869053663E-4</v>
      </c>
      <c r="W279" s="7" t="str">
        <f t="shared" si="15"/>
        <v>SEHAT</v>
      </c>
    </row>
    <row r="280" spans="7:23" x14ac:dyDescent="0.25">
      <c r="G280" s="7">
        <f>_xlfn.NORM.DIST('DATA SIAP'!I279,$B$2,$B$3, FALSE)</f>
        <v>1.0054188033119906E-3</v>
      </c>
      <c r="H280" s="7">
        <f>_xlfn.NORM.DIST('DATA SIAP'!J279,$C$2,$C$3, FALSE)</f>
        <v>0.10260832370383424</v>
      </c>
      <c r="I280" s="7">
        <f>_xlfn.NORM.DIST('DATA SIAP'!K279,$D$2,$D$3, FALSE)</f>
        <v>0.19972434609323236</v>
      </c>
      <c r="J280" s="7">
        <f>_xlfn.NORM.DIST('DATA SIAP'!L279,$E$2,$E$3, FALSE)</f>
        <v>4.3091975226951768E-2</v>
      </c>
      <c r="L280" s="7">
        <f>_xlfn.NORM.DIST('DATA SIAP'!I279,$B$5,$B$6, FALSE)</f>
        <v>0.22932569914643791</v>
      </c>
      <c r="M280" s="7">
        <f>_xlfn.NORM.DIST('DATA SIAP'!J279,$C$5,$C$6, FALSE)</f>
        <v>9.5906469505890934E-2</v>
      </c>
      <c r="N280" s="7">
        <f>_xlfn.NORM.DIST('DATA SIAP'!K279,$D$5,$D$6, FALSE)</f>
        <v>0.23145932521706172</v>
      </c>
      <c r="O280" s="7">
        <f>_xlfn.NORM.DIST('DATA SIAP'!L279,$E$5,$E$6, FALSE)</f>
        <v>4.0352331244002053E-2</v>
      </c>
      <c r="T280" s="7">
        <f t="shared" si="13"/>
        <v>4.8145908487392432E-7</v>
      </c>
      <c r="U280" s="7">
        <f t="shared" si="14"/>
        <v>9.4030545414374017E-5</v>
      </c>
      <c r="W280" s="7" t="str">
        <f t="shared" si="15"/>
        <v>SEHAT</v>
      </c>
    </row>
    <row r="281" spans="7:23" x14ac:dyDescent="0.25">
      <c r="G281" s="7">
        <f>_xlfn.NORM.DIST('DATA SIAP'!I280,$B$2,$B$3, FALSE)</f>
        <v>8.0741245945897683E-2</v>
      </c>
      <c r="H281" s="7">
        <f>_xlfn.NORM.DIST('DATA SIAP'!J280,$C$2,$C$3, FALSE)</f>
        <v>6.8670628928825472E-2</v>
      </c>
      <c r="I281" s="7">
        <f>_xlfn.NORM.DIST('DATA SIAP'!K280,$D$2,$D$3, FALSE)</f>
        <v>8.1193976727337386E-2</v>
      </c>
      <c r="J281" s="7">
        <f>_xlfn.NORM.DIST('DATA SIAP'!L280,$E$2,$E$3, FALSE)</f>
        <v>1.023696655722252E-2</v>
      </c>
      <c r="L281" s="7">
        <f>_xlfn.NORM.DIST('DATA SIAP'!I280,$B$5,$B$6, FALSE)</f>
        <v>0.18971286532748305</v>
      </c>
      <c r="M281" s="7">
        <f>_xlfn.NORM.DIST('DATA SIAP'!J280,$C$5,$C$6, FALSE)</f>
        <v>6.7865717849773549E-2</v>
      </c>
      <c r="N281" s="7">
        <f>_xlfn.NORM.DIST('DATA SIAP'!K280,$D$5,$D$6, FALSE)</f>
        <v>5.6783277125935824E-2</v>
      </c>
      <c r="O281" s="7">
        <f>_xlfn.NORM.DIST('DATA SIAP'!L280,$E$5,$E$6, FALSE)</f>
        <v>1.0330413117694301E-2</v>
      </c>
      <c r="T281" s="7">
        <f t="shared" si="13"/>
        <v>2.4989867300624865E-6</v>
      </c>
      <c r="U281" s="7">
        <f t="shared" si="14"/>
        <v>3.4570876105416637E-6</v>
      </c>
      <c r="W281" s="7" t="str">
        <f t="shared" si="15"/>
        <v>SEHAT</v>
      </c>
    </row>
    <row r="282" spans="7:23" x14ac:dyDescent="0.25">
      <c r="G282" s="7">
        <f>_xlfn.NORM.DIST('DATA SIAP'!I281,$B$2,$B$3, FALSE)</f>
        <v>2.4872091471151239E-2</v>
      </c>
      <c r="H282" s="7">
        <f>_xlfn.NORM.DIST('DATA SIAP'!J281,$C$2,$C$3, FALSE)</f>
        <v>3.201035707858596E-2</v>
      </c>
      <c r="I282" s="7">
        <f>_xlfn.NORM.DIST('DATA SIAP'!K281,$D$2,$D$3, FALSE)</f>
        <v>0.13402998203293126</v>
      </c>
      <c r="J282" s="7">
        <f>_xlfn.NORM.DIST('DATA SIAP'!L281,$E$2,$E$3, FALSE)</f>
        <v>4.3005048372796818E-2</v>
      </c>
      <c r="L282" s="7">
        <f>_xlfn.NORM.DIST('DATA SIAP'!I281,$B$5,$B$6, FALSE)</f>
        <v>0.30264828161210117</v>
      </c>
      <c r="M282" s="7">
        <f>_xlfn.NORM.DIST('DATA SIAP'!J281,$C$5,$C$6, FALSE)</f>
        <v>3.5042122838522372E-2</v>
      </c>
      <c r="N282" s="7">
        <f>_xlfn.NORM.DIST('DATA SIAP'!K281,$D$5,$D$6, FALSE)</f>
        <v>0.10342099402218156</v>
      </c>
      <c r="O282" s="7">
        <f>_xlfn.NORM.DIST('DATA SIAP'!L281,$E$5,$E$6, FALSE)</f>
        <v>4.0156793606372254E-2</v>
      </c>
      <c r="T282" s="7">
        <f t="shared" si="13"/>
        <v>2.4884367451124563E-6</v>
      </c>
      <c r="U282" s="7">
        <f t="shared" si="14"/>
        <v>2.0161431679252937E-5</v>
      </c>
      <c r="W282" s="7" t="str">
        <f t="shared" si="15"/>
        <v>SEHAT</v>
      </c>
    </row>
    <row r="283" spans="7:23" x14ac:dyDescent="0.25">
      <c r="G283" s="7">
        <f>_xlfn.NORM.DIST('DATA SIAP'!I282,$B$2,$B$3, FALSE)</f>
        <v>5.4227430483013976E-2</v>
      </c>
      <c r="H283" s="7">
        <f>_xlfn.NORM.DIST('DATA SIAP'!J282,$C$2,$C$3, FALSE)</f>
        <v>9.196013276948814E-2</v>
      </c>
      <c r="I283" s="7">
        <f>_xlfn.NORM.DIST('DATA SIAP'!K282,$D$2,$D$3, FALSE)</f>
        <v>0.26561722062877446</v>
      </c>
      <c r="J283" s="7">
        <f>_xlfn.NORM.DIST('DATA SIAP'!L282,$E$2,$E$3, FALSE)</f>
        <v>3.0776344840236336E-2</v>
      </c>
      <c r="L283" s="7">
        <f>_xlfn.NORM.DIST('DATA SIAP'!I282,$B$5,$B$6, FALSE)</f>
        <v>0.23764944520286474</v>
      </c>
      <c r="M283" s="7">
        <f>_xlfn.NORM.DIST('DATA SIAP'!J282,$C$5,$C$6, FALSE)</f>
        <v>8.7323802584105797E-2</v>
      </c>
      <c r="N283" s="7">
        <f>_xlfn.NORM.DIST('DATA SIAP'!K282,$D$5,$D$6, FALSE)</f>
        <v>0.25087690118257733</v>
      </c>
      <c r="O283" s="7">
        <f>_xlfn.NORM.DIST('DATA SIAP'!L282,$E$5,$E$6, FALSE)</f>
        <v>2.8642348459390142E-2</v>
      </c>
      <c r="T283" s="7">
        <f t="shared" si="13"/>
        <v>2.2105190612398176E-5</v>
      </c>
      <c r="U283" s="7">
        <f t="shared" si="14"/>
        <v>6.8259602804558465E-5</v>
      </c>
      <c r="W283" s="7" t="str">
        <f t="shared" si="15"/>
        <v>SEHAT</v>
      </c>
    </row>
    <row r="284" spans="7:23" x14ac:dyDescent="0.25">
      <c r="G284" s="7">
        <f>_xlfn.NORM.DIST('DATA SIAP'!I283,$B$2,$B$3, FALSE)</f>
        <v>1.2010622387859344E-2</v>
      </c>
      <c r="H284" s="7">
        <f>_xlfn.NORM.DIST('DATA SIAP'!J283,$C$2,$C$3, FALSE)</f>
        <v>0.10384175195231214</v>
      </c>
      <c r="I284" s="7">
        <f>_xlfn.NORM.DIST('DATA SIAP'!K283,$D$2,$D$3, FALSE)</f>
        <v>0.18263025300630079</v>
      </c>
      <c r="J284" s="7">
        <f>_xlfn.NORM.DIST('DATA SIAP'!L283,$E$2,$E$3, FALSE)</f>
        <v>1.4177798669074832E-2</v>
      </c>
      <c r="L284" s="7">
        <f>_xlfn.NORM.DIST('DATA SIAP'!I283,$B$5,$B$6, FALSE)</f>
        <v>0.3255971339791599</v>
      </c>
      <c r="M284" s="7">
        <f>_xlfn.NORM.DIST('DATA SIAP'!J283,$C$5,$C$6, FALSE)</f>
        <v>9.6839536160349904E-2</v>
      </c>
      <c r="N284" s="7">
        <f>_xlfn.NORM.DIST('DATA SIAP'!K283,$D$5,$D$6, FALSE)</f>
        <v>0.15154872267578176</v>
      </c>
      <c r="O284" s="7">
        <f>_xlfn.NORM.DIST('DATA SIAP'!L283,$E$5,$E$6, FALSE)</f>
        <v>1.6505217039435326E-2</v>
      </c>
      <c r="T284" s="7">
        <f t="shared" si="13"/>
        <v>1.7511422488192511E-6</v>
      </c>
      <c r="U284" s="7">
        <f t="shared" si="14"/>
        <v>3.6102045242690116E-5</v>
      </c>
      <c r="W284" s="7" t="str">
        <f t="shared" si="15"/>
        <v>SEHAT</v>
      </c>
    </row>
    <row r="285" spans="7:23" x14ac:dyDescent="0.25">
      <c r="G285" s="7">
        <f>_xlfn.NORM.DIST('DATA SIAP'!I284,$B$2,$B$3, FALSE)</f>
        <v>1.0653046445444827E-4</v>
      </c>
      <c r="H285" s="7">
        <f>_xlfn.NORM.DIST('DATA SIAP'!J284,$C$2,$C$3, FALSE)</f>
        <v>0.10381084285026893</v>
      </c>
      <c r="I285" s="7">
        <f>_xlfn.NORM.DIST('DATA SIAP'!K284,$D$2,$D$3, FALSE)</f>
        <v>0.28223010825692313</v>
      </c>
      <c r="J285" s="7">
        <f>_xlfn.NORM.DIST('DATA SIAP'!L284,$E$2,$E$3, FALSE)</f>
        <v>4.219978418989298E-2</v>
      </c>
      <c r="L285" s="7">
        <f>_xlfn.NORM.DIST('DATA SIAP'!I284,$B$5,$B$6, FALSE)</f>
        <v>0.1069284928063705</v>
      </c>
      <c r="M285" s="7">
        <f>_xlfn.NORM.DIST('DATA SIAP'!J284,$C$5,$C$6, FALSE)</f>
        <v>9.6825929758144746E-2</v>
      </c>
      <c r="N285" s="7">
        <f>_xlfn.NORM.DIST('DATA SIAP'!K284,$D$5,$D$6, FALSE)</f>
        <v>0.29338304844726315</v>
      </c>
      <c r="O285" s="7">
        <f>_xlfn.NORM.DIST('DATA SIAP'!L284,$E$5,$E$6, FALSE)</f>
        <v>3.9178660248575733E-2</v>
      </c>
      <c r="T285" s="7">
        <f t="shared" si="13"/>
        <v>7.1422079487184524E-8</v>
      </c>
      <c r="U285" s="7">
        <f t="shared" si="14"/>
        <v>5.4474685450250915E-5</v>
      </c>
      <c r="W285" s="7" t="str">
        <f t="shared" si="15"/>
        <v>SEHAT</v>
      </c>
    </row>
    <row r="286" spans="7:23" x14ac:dyDescent="0.25">
      <c r="G286" s="7">
        <f>_xlfn.NORM.DIST('DATA SIAP'!I285,$B$2,$B$3, FALSE)</f>
        <v>2.1201250670888029E-3</v>
      </c>
      <c r="H286" s="7">
        <f>_xlfn.NORM.DIST('DATA SIAP'!J285,$C$2,$C$3, FALSE)</f>
        <v>5.3797001958017156E-2</v>
      </c>
      <c r="I286" s="7">
        <f>_xlfn.NORM.DIST('DATA SIAP'!K285,$D$2,$D$3, FALSE)</f>
        <v>0.13402998203293126</v>
      </c>
      <c r="J286" s="7">
        <f>_xlfn.NORM.DIST('DATA SIAP'!L285,$E$2,$E$3, FALSE)</f>
        <v>3.5423948003398931E-2</v>
      </c>
      <c r="L286" s="7">
        <f>_xlfn.NORM.DIST('DATA SIAP'!I285,$B$5,$B$6, FALSE)</f>
        <v>0.27340634464238739</v>
      </c>
      <c r="M286" s="7">
        <f>_xlfn.NORM.DIST('DATA SIAP'!J285,$C$5,$C$6, FALSE)</f>
        <v>5.43734620098731E-2</v>
      </c>
      <c r="N286" s="7">
        <f>_xlfn.NORM.DIST('DATA SIAP'!K285,$D$5,$D$6, FALSE)</f>
        <v>0.10342099402218156</v>
      </c>
      <c r="O286" s="7">
        <f>_xlfn.NORM.DIST('DATA SIAP'!L285,$E$5,$E$6, FALSE)</f>
        <v>3.2782523236828696E-2</v>
      </c>
      <c r="T286" s="7">
        <f t="shared" si="13"/>
        <v>2.9364381409608937E-7</v>
      </c>
      <c r="U286" s="7">
        <f t="shared" si="14"/>
        <v>2.3071279045841291E-5</v>
      </c>
      <c r="W286" s="7" t="str">
        <f t="shared" si="15"/>
        <v>SEHAT</v>
      </c>
    </row>
    <row r="287" spans="7:23" x14ac:dyDescent="0.25">
      <c r="G287" s="7">
        <f>_xlfn.NORM.DIST('DATA SIAP'!I286,$B$2,$B$3, FALSE)</f>
        <v>1.2010622387859344E-2</v>
      </c>
      <c r="H287" s="7">
        <f>_xlfn.NORM.DIST('DATA SIAP'!J286,$C$2,$C$3, FALSE)</f>
        <v>5.3797001958017156E-2</v>
      </c>
      <c r="I287" s="7">
        <f>_xlfn.NORM.DIST('DATA SIAP'!K286,$D$2,$D$3, FALSE)</f>
        <v>0.17534041784492749</v>
      </c>
      <c r="J287" s="7">
        <f>_xlfn.NORM.DIST('DATA SIAP'!L286,$E$2,$E$3, FALSE)</f>
        <v>1.4638548782901962E-2</v>
      </c>
      <c r="L287" s="7">
        <f>_xlfn.NORM.DIST('DATA SIAP'!I286,$B$5,$B$6, FALSE)</f>
        <v>0.3255971339791599</v>
      </c>
      <c r="M287" s="7">
        <f>_xlfn.NORM.DIST('DATA SIAP'!J286,$C$5,$C$6, FALSE)</f>
        <v>5.43734620098731E-2</v>
      </c>
      <c r="N287" s="7">
        <f>_xlfn.NORM.DIST('DATA SIAP'!K286,$D$5,$D$6, FALSE)</f>
        <v>0.20684161907798584</v>
      </c>
      <c r="O287" s="7">
        <f>_xlfn.NORM.DIST('DATA SIAP'!L286,$E$5,$E$6, FALSE)</f>
        <v>1.695606571177417E-2</v>
      </c>
      <c r="T287" s="7">
        <f t="shared" si="13"/>
        <v>8.9930297262118463E-7</v>
      </c>
      <c r="U287" s="7">
        <f t="shared" si="14"/>
        <v>2.8422062562578954E-5</v>
      </c>
      <c r="W287" s="7" t="str">
        <f t="shared" si="15"/>
        <v>SEHAT</v>
      </c>
    </row>
    <row r="288" spans="7:23" x14ac:dyDescent="0.25">
      <c r="G288" s="7">
        <f>_xlfn.NORM.DIST('DATA SIAP'!I287,$B$2,$B$3, FALSE)</f>
        <v>2.4872091471151239E-2</v>
      </c>
      <c r="H288" s="7">
        <f>_xlfn.NORM.DIST('DATA SIAP'!J287,$C$2,$C$3, FALSE)</f>
        <v>0.10255777641540727</v>
      </c>
      <c r="I288" s="7">
        <f>_xlfn.NORM.DIST('DATA SIAP'!K287,$D$2,$D$3, FALSE)</f>
        <v>0.15805433943805822</v>
      </c>
      <c r="J288" s="7">
        <f>_xlfn.NORM.DIST('DATA SIAP'!L287,$E$2,$E$3, FALSE)</f>
        <v>3.9792843994450912E-2</v>
      </c>
      <c r="L288" s="7">
        <f>_xlfn.NORM.DIST('DATA SIAP'!I287,$B$5,$B$6, FALSE)</f>
        <v>0.30264828161210117</v>
      </c>
      <c r="M288" s="7">
        <f>_xlfn.NORM.DIST('DATA SIAP'!J287,$C$5,$C$6, FALSE)</f>
        <v>9.5729268587055869E-2</v>
      </c>
      <c r="N288" s="7">
        <f>_xlfn.NORM.DIST('DATA SIAP'!K287,$D$5,$D$6, FALSE)</f>
        <v>0.12655751590758546</v>
      </c>
      <c r="O288" s="7">
        <f>_xlfn.NORM.DIST('DATA SIAP'!L287,$E$5,$E$6, FALSE)</f>
        <v>3.6792790724857104E-2</v>
      </c>
      <c r="T288" s="7">
        <f t="shared" si="13"/>
        <v>8.699507894568168E-6</v>
      </c>
      <c r="U288" s="7">
        <f t="shared" si="14"/>
        <v>6.1753082001072317E-5</v>
      </c>
      <c r="W288" s="7" t="str">
        <f t="shared" si="15"/>
        <v>SEHAT</v>
      </c>
    </row>
    <row r="289" spans="7:23" x14ac:dyDescent="0.25">
      <c r="G289" s="7">
        <f>_xlfn.NORM.DIST('DATA SIAP'!I288,$B$2,$B$3, FALSE)</f>
        <v>1.2967934154064259E-3</v>
      </c>
      <c r="H289" s="7">
        <f>_xlfn.NORM.DIST('DATA SIAP'!J288,$C$2,$C$3, FALSE)</f>
        <v>4.442975829680687E-2</v>
      </c>
      <c r="I289" s="7">
        <f>_xlfn.NORM.DIST('DATA SIAP'!K288,$D$2,$D$3, FALSE)</f>
        <v>0.21834869514136626</v>
      </c>
      <c r="J289" s="7">
        <f>_xlfn.NORM.DIST('DATA SIAP'!L288,$E$2,$E$3, FALSE)</f>
        <v>3.7452971260141334E-2</v>
      </c>
      <c r="L289" s="7">
        <f>_xlfn.NORM.DIST('DATA SIAP'!I288,$B$5,$B$6, FALSE)</f>
        <v>0.24479804495420682</v>
      </c>
      <c r="M289" s="7">
        <f>_xlfn.NORM.DIST('DATA SIAP'!J288,$C$5,$C$6, FALSE)</f>
        <v>4.6006459482833273E-2</v>
      </c>
      <c r="N289" s="7">
        <f>_xlfn.NORM.DIST('DATA SIAP'!K288,$D$5,$D$6, FALSE)</f>
        <v>0.19067592347995771</v>
      </c>
      <c r="O289" s="7">
        <f>_xlfn.NORM.DIST('DATA SIAP'!L288,$E$5,$E$6, FALSE)</f>
        <v>3.6776110522117274E-2</v>
      </c>
      <c r="T289" s="7">
        <f t="shared" si="13"/>
        <v>2.554959417850209E-7</v>
      </c>
      <c r="U289" s="7">
        <f t="shared" si="14"/>
        <v>3.6150426400258057E-5</v>
      </c>
      <c r="W289" s="7" t="str">
        <f t="shared" si="15"/>
        <v>SEHAT</v>
      </c>
    </row>
    <row r="290" spans="7:23" x14ac:dyDescent="0.25">
      <c r="G290" s="7">
        <f>_xlfn.NORM.DIST('DATA SIAP'!I289,$B$2,$B$3, FALSE)</f>
        <v>2.9407058498165824E-2</v>
      </c>
      <c r="H290" s="7">
        <f>_xlfn.NORM.DIST('DATA SIAP'!J289,$C$2,$C$3, FALSE)</f>
        <v>4.5946974275676865E-2</v>
      </c>
      <c r="I290" s="7">
        <f>_xlfn.NORM.DIST('DATA SIAP'!K289,$D$2,$D$3, FALSE)</f>
        <v>0.21153935719650352</v>
      </c>
      <c r="J290" s="7">
        <f>_xlfn.NORM.DIST('DATA SIAP'!L289,$E$2,$E$3, FALSE)</f>
        <v>3.6112991512409216E-2</v>
      </c>
      <c r="L290" s="7">
        <f>_xlfn.NORM.DIST('DATA SIAP'!I289,$B$5,$B$6, FALSE)</f>
        <v>0.29224323073070041</v>
      </c>
      <c r="M290" s="7">
        <f>_xlfn.NORM.DIST('DATA SIAP'!J289,$C$5,$C$6, FALSE)</f>
        <v>4.7375442874265865E-2</v>
      </c>
      <c r="N290" s="7">
        <f>_xlfn.NORM.DIST('DATA SIAP'!K289,$D$5,$D$6, FALSE)</f>
        <v>0.24286362542611273</v>
      </c>
      <c r="O290" s="7">
        <f>_xlfn.NORM.DIST('DATA SIAP'!L289,$E$5,$E$6, FALSE)</f>
        <v>3.574601496646352E-2</v>
      </c>
      <c r="T290" s="7">
        <f t="shared" si="13"/>
        <v>5.5971317483386824E-6</v>
      </c>
      <c r="U290" s="7">
        <f t="shared" si="14"/>
        <v>5.5019021476291323E-5</v>
      </c>
      <c r="W290" s="7" t="str">
        <f t="shared" si="15"/>
        <v>SEHAT</v>
      </c>
    </row>
    <row r="291" spans="7:23" x14ac:dyDescent="0.25">
      <c r="G291" s="7">
        <f>_xlfn.NORM.DIST('DATA SIAP'!I290,$B$2,$B$3, FALSE)</f>
        <v>3.4281684424601421E-4</v>
      </c>
      <c r="H291" s="7">
        <f>_xlfn.NORM.DIST('DATA SIAP'!J290,$C$2,$C$3, FALSE)</f>
        <v>2.0756397073274192E-2</v>
      </c>
      <c r="I291" s="7">
        <f>_xlfn.NORM.DIST('DATA SIAP'!K290,$D$2,$D$3, FALSE)</f>
        <v>0.11583575279547854</v>
      </c>
      <c r="J291" s="7">
        <f>_xlfn.NORM.DIST('DATA SIAP'!L290,$E$2,$E$3, FALSE)</f>
        <v>3.4196156201671692E-2</v>
      </c>
      <c r="L291" s="7">
        <f>_xlfn.NORM.DIST('DATA SIAP'!I290,$B$5,$B$6, FALSE)</f>
        <v>0.16519587688849741</v>
      </c>
      <c r="M291" s="7">
        <f>_xlfn.NORM.DIST('DATA SIAP'!J290,$C$5,$C$6, FALSE)</f>
        <v>2.4070071205384173E-2</v>
      </c>
      <c r="N291" s="7">
        <f>_xlfn.NORM.DIST('DATA SIAP'!K290,$D$5,$D$6, FALSE)</f>
        <v>0.14202208186540324</v>
      </c>
      <c r="O291" s="7">
        <f>_xlfn.NORM.DIST('DATA SIAP'!L290,$E$5,$E$6, FALSE)</f>
        <v>3.1681553530889597E-2</v>
      </c>
      <c r="T291" s="7">
        <f t="shared" si="13"/>
        <v>1.5283978615593724E-8</v>
      </c>
      <c r="U291" s="7">
        <f t="shared" si="14"/>
        <v>8.189623469835259E-6</v>
      </c>
      <c r="W291" s="7" t="str">
        <f t="shared" si="15"/>
        <v>SEHAT</v>
      </c>
    </row>
    <row r="292" spans="7:23" x14ac:dyDescent="0.25">
      <c r="G292" s="7">
        <f>_xlfn.NORM.DIST('DATA SIAP'!I291,$B$2,$B$3, FALSE)</f>
        <v>6.5464560736304186E-3</v>
      </c>
      <c r="H292" s="7">
        <f>_xlfn.NORM.DIST('DATA SIAP'!J291,$C$2,$C$3, FALSE)</f>
        <v>7.5082728952878042E-2</v>
      </c>
      <c r="I292" s="7">
        <f>_xlfn.NORM.DIST('DATA SIAP'!K291,$D$2,$D$3, FALSE)</f>
        <v>0.27722454854897127</v>
      </c>
      <c r="J292" s="7">
        <f>_xlfn.NORM.DIST('DATA SIAP'!L291,$E$2,$E$3, FALSE)</f>
        <v>1.655876166838401E-2</v>
      </c>
      <c r="L292" s="7">
        <f>_xlfn.NORM.DIST('DATA SIAP'!I291,$B$5,$B$6, FALSE)</f>
        <v>0.32062919492472447</v>
      </c>
      <c r="M292" s="7">
        <f>_xlfn.NORM.DIST('DATA SIAP'!J291,$C$5,$C$6, FALSE)</f>
        <v>7.3309934717952496E-2</v>
      </c>
      <c r="N292" s="7">
        <f>_xlfn.NORM.DIST('DATA SIAP'!K291,$D$5,$D$6, FALSE)</f>
        <v>0.26955695164547089</v>
      </c>
      <c r="O292" s="7">
        <f>_xlfn.NORM.DIST('DATA SIAP'!L291,$E$5,$E$6, FALSE)</f>
        <v>1.8808508090986376E-2</v>
      </c>
      <c r="T292" s="7">
        <f t="shared" si="13"/>
        <v>1.2235119861137403E-6</v>
      </c>
      <c r="U292" s="7">
        <f t="shared" si="14"/>
        <v>5.4550130543499409E-5</v>
      </c>
      <c r="W292" s="7" t="str">
        <f t="shared" si="15"/>
        <v>ANEMIA</v>
      </c>
    </row>
    <row r="293" spans="7:23" x14ac:dyDescent="0.25">
      <c r="G293" s="7">
        <f>_xlfn.NORM.DIST('DATA SIAP'!I292,$B$2,$B$3, FALSE)</f>
        <v>0.16684373170249162</v>
      </c>
      <c r="H293" s="7">
        <f>_xlfn.NORM.DIST('DATA SIAP'!J292,$C$2,$C$3, FALSE)</f>
        <v>6.5406519901978571E-2</v>
      </c>
      <c r="I293" s="7">
        <f>_xlfn.NORM.DIST('DATA SIAP'!K292,$D$2,$D$3, FALSE)</f>
        <v>0.12248570720321851</v>
      </c>
      <c r="J293" s="7">
        <f>_xlfn.NORM.DIST('DATA SIAP'!L292,$E$2,$E$3, FALSE)</f>
        <v>4.1172760833596903E-2</v>
      </c>
      <c r="L293" s="7">
        <f>_xlfn.NORM.DIST('DATA SIAP'!I292,$B$5,$B$6, FALSE)</f>
        <v>8.8754245198698567E-2</v>
      </c>
      <c r="M293" s="7">
        <f>_xlfn.NORM.DIST('DATA SIAP'!J292,$C$5,$C$6, FALSE)</f>
        <v>6.5066702086767389E-2</v>
      </c>
      <c r="N293" s="7">
        <f>_xlfn.NORM.DIST('DATA SIAP'!K292,$D$5,$D$6, FALSE)</f>
        <v>9.2733895700821981E-2</v>
      </c>
      <c r="O293" s="7">
        <f>_xlfn.NORM.DIST('DATA SIAP'!L292,$E$5,$E$6, FALSE)</f>
        <v>3.8125419473523096E-2</v>
      </c>
      <c r="T293" s="7">
        <f t="shared" si="13"/>
        <v>2.9842054654467472E-5</v>
      </c>
      <c r="U293" s="7">
        <f t="shared" si="14"/>
        <v>9.3460064746343848E-6</v>
      </c>
      <c r="W293" s="7" t="str">
        <f t="shared" si="15"/>
        <v>SEHAT</v>
      </c>
    </row>
    <row r="294" spans="7:23" x14ac:dyDescent="0.25">
      <c r="G294" s="7">
        <f>_xlfn.NORM.DIST('DATA SIAP'!I293,$B$2,$B$3, FALSE)</f>
        <v>3.8209843278470159E-6</v>
      </c>
      <c r="H294" s="7">
        <f>_xlfn.NORM.DIST('DATA SIAP'!J293,$C$2,$C$3, FALSE)</f>
        <v>2.5995567843395465E-2</v>
      </c>
      <c r="I294" s="7">
        <f>_xlfn.NORM.DIST('DATA SIAP'!K293,$D$2,$D$3, FALSE)</f>
        <v>0.19482359643262351</v>
      </c>
      <c r="J294" s="7">
        <f>_xlfn.NORM.DIST('DATA SIAP'!L293,$E$2,$E$3, FALSE)</f>
        <v>4.1555912378453408E-2</v>
      </c>
      <c r="L294" s="7">
        <f>_xlfn.NORM.DIST('DATA SIAP'!I293,$B$5,$B$6, FALSE)</f>
        <v>2.257358407501435E-2</v>
      </c>
      <c r="M294" s="7">
        <f>_xlfn.NORM.DIST('DATA SIAP'!J293,$C$5,$C$6, FALSE)</f>
        <v>2.9257200308458728E-2</v>
      </c>
      <c r="N294" s="7">
        <f>_xlfn.NORM.DIST('DATA SIAP'!K293,$D$5,$D$6, FALSE)</f>
        <v>0.16449544010737174</v>
      </c>
      <c r="O294" s="7">
        <f>_xlfn.NORM.DIST('DATA SIAP'!L293,$E$5,$E$6, FALSE)</f>
        <v>3.8508934065259813E-2</v>
      </c>
      <c r="T294" s="7">
        <f t="shared" si="13"/>
        <v>4.3606509393299537E-10</v>
      </c>
      <c r="U294" s="7">
        <f t="shared" si="14"/>
        <v>1.9150215132419671E-6</v>
      </c>
      <c r="W294" s="7" t="str">
        <f t="shared" si="15"/>
        <v>SEHAT</v>
      </c>
    </row>
    <row r="295" spans="7:23" x14ac:dyDescent="0.25">
      <c r="G295" s="7">
        <f>_xlfn.NORM.DIST('DATA SIAP'!I294,$B$2,$B$3, FALSE)</f>
        <v>5.0281251163710415E-8</v>
      </c>
      <c r="H295" s="7">
        <f>_xlfn.NORM.DIST('DATA SIAP'!J294,$C$2,$C$3, FALSE)</f>
        <v>3.201035707858596E-2</v>
      </c>
      <c r="I295" s="7">
        <f>_xlfn.NORM.DIST('DATA SIAP'!K294,$D$2,$D$3, FALSE)</f>
        <v>0.25300927958246416</v>
      </c>
      <c r="J295" s="7">
        <f>_xlfn.NORM.DIST('DATA SIAP'!L294,$E$2,$E$3, FALSE)</f>
        <v>4.3005048372796818E-2</v>
      </c>
      <c r="L295" s="7">
        <f>_xlfn.NORM.DIST('DATA SIAP'!I294,$B$5,$B$6, FALSE)</f>
        <v>1.884652233717924E-3</v>
      </c>
      <c r="M295" s="7">
        <f>_xlfn.NORM.DIST('DATA SIAP'!J294,$C$5,$C$6, FALSE)</f>
        <v>3.5042122838522372E-2</v>
      </c>
      <c r="N295" s="7">
        <f>_xlfn.NORM.DIST('DATA SIAP'!K294,$D$5,$D$6, FALSE)</f>
        <v>0.27885369204976324</v>
      </c>
      <c r="O295" s="7">
        <f>_xlfn.NORM.DIST('DATA SIAP'!L294,$E$5,$E$6, FALSE)</f>
        <v>4.0156793606372254E-2</v>
      </c>
      <c r="T295" s="7">
        <f t="shared" si="13"/>
        <v>9.496309617607819E-12</v>
      </c>
      <c r="U295" s="7">
        <f t="shared" si="14"/>
        <v>3.3851823741710052E-7</v>
      </c>
      <c r="W295" s="7" t="str">
        <f t="shared" si="15"/>
        <v>SEHAT</v>
      </c>
    </row>
    <row r="296" spans="7:23" x14ac:dyDescent="0.25">
      <c r="G296" s="7">
        <f>_xlfn.NORM.DIST('DATA SIAP'!I295,$B$2,$B$3, FALSE)</f>
        <v>5.4227430483013976E-2</v>
      </c>
      <c r="H296" s="7">
        <f>_xlfn.NORM.DIST('DATA SIAP'!J295,$C$2,$C$3, FALSE)</f>
        <v>9.8849018475037978E-2</v>
      </c>
      <c r="I296" s="7">
        <f>_xlfn.NORM.DIST('DATA SIAP'!K295,$D$2,$D$3, FALSE)</f>
        <v>0.12713630690141631</v>
      </c>
      <c r="J296" s="7">
        <f>_xlfn.NORM.DIST('DATA SIAP'!L295,$E$2,$E$3, FALSE)</f>
        <v>3.7035319866964719E-2</v>
      </c>
      <c r="L296" s="7">
        <f>_xlfn.NORM.DIST('DATA SIAP'!I295,$B$5,$B$6, FALSE)</f>
        <v>0.23764944520286474</v>
      </c>
      <c r="M296" s="7">
        <f>_xlfn.NORM.DIST('DATA SIAP'!J295,$C$5,$C$6, FALSE)</f>
        <v>9.2645434931106399E-2</v>
      </c>
      <c r="N296" s="7">
        <f>_xlfn.NORM.DIST('DATA SIAP'!K295,$D$5,$D$6, FALSE)</f>
        <v>0.1547817431068946</v>
      </c>
      <c r="O296" s="7">
        <f>_xlfn.NORM.DIST('DATA SIAP'!L295,$E$5,$E$6, FALSE)</f>
        <v>3.4240271021540189E-2</v>
      </c>
      <c r="T296" s="7">
        <f t="shared" si="13"/>
        <v>1.3686092157494783E-5</v>
      </c>
      <c r="U296" s="7">
        <f t="shared" si="14"/>
        <v>5.3412483091272548E-5</v>
      </c>
      <c r="W296" s="7" t="str">
        <f t="shared" si="15"/>
        <v>SEHAT</v>
      </c>
    </row>
    <row r="297" spans="7:23" x14ac:dyDescent="0.25">
      <c r="G297" s="7">
        <f>_xlfn.NORM.DIST('DATA SIAP'!I296,$B$2,$B$3, FALSE)</f>
        <v>2.6873756118412514E-3</v>
      </c>
      <c r="H297" s="7">
        <f>_xlfn.NORM.DIST('DATA SIAP'!J296,$C$2,$C$3, FALSE)</f>
        <v>6.3768277062872733E-2</v>
      </c>
      <c r="I297" s="7">
        <f>_xlfn.NORM.DIST('DATA SIAP'!K296,$D$2,$D$3, FALSE)</f>
        <v>0.16303965166659332</v>
      </c>
      <c r="J297" s="7">
        <f>_xlfn.NORM.DIST('DATA SIAP'!L296,$E$2,$E$3, FALSE)</f>
        <v>1.7328420740213832E-2</v>
      </c>
      <c r="L297" s="7">
        <f>_xlfn.NORM.DIST('DATA SIAP'!I296,$B$5,$B$6, FALSE)</f>
        <v>0.28605794420747072</v>
      </c>
      <c r="M297" s="7">
        <f>_xlfn.NORM.DIST('DATA SIAP'!J296,$C$5,$C$6, FALSE)</f>
        <v>6.3654498965158485E-2</v>
      </c>
      <c r="N297" s="7">
        <f>_xlfn.NORM.DIST('DATA SIAP'!K296,$D$5,$D$6, FALSE)</f>
        <v>0.19394963457395645</v>
      </c>
      <c r="O297" s="7">
        <f>_xlfn.NORM.DIST('DATA SIAP'!L296,$E$5,$E$6, FALSE)</f>
        <v>1.6753110567372255E-2</v>
      </c>
      <c r="T297" s="7">
        <f t="shared" si="13"/>
        <v>2.625352712182496E-7</v>
      </c>
      <c r="U297" s="7">
        <f t="shared" si="14"/>
        <v>2.708273685381124E-5</v>
      </c>
      <c r="W297" s="7" t="str">
        <f t="shared" si="15"/>
        <v>SEHAT</v>
      </c>
    </row>
    <row r="298" spans="7:23" x14ac:dyDescent="0.25">
      <c r="G298" s="7">
        <f>_xlfn.NORM.DIST('DATA SIAP'!I297,$B$2,$B$3, FALSE)</f>
        <v>2.4872091471151239E-2</v>
      </c>
      <c r="H298" s="7">
        <f>_xlfn.NORM.DIST('DATA SIAP'!J297,$C$2,$C$3, FALSE)</f>
        <v>2.8166133365184001E-2</v>
      </c>
      <c r="I298" s="7">
        <f>_xlfn.NORM.DIST('DATA SIAP'!K297,$D$2,$D$3, FALSE)</f>
        <v>0.12713630690141631</v>
      </c>
      <c r="J298" s="7">
        <f>_xlfn.NORM.DIST('DATA SIAP'!L297,$E$2,$E$3, FALSE)</f>
        <v>1.9379194126962644E-2</v>
      </c>
      <c r="L298" s="7">
        <f>_xlfn.NORM.DIST('DATA SIAP'!I297,$B$5,$B$6, FALSE)</f>
        <v>0.30264828161210117</v>
      </c>
      <c r="M298" s="7">
        <f>_xlfn.NORM.DIST('DATA SIAP'!J297,$C$5,$C$6, FALSE)</f>
        <v>3.0906099393347899E-2</v>
      </c>
      <c r="N298" s="7">
        <f>_xlfn.NORM.DIST('DATA SIAP'!K297,$D$5,$D$6, FALSE)</f>
        <v>0.1547817431068946</v>
      </c>
      <c r="O298" s="7">
        <f>_xlfn.NORM.DIST('DATA SIAP'!L297,$E$5,$E$6, FALSE)</f>
        <v>2.1458692900144422E-2</v>
      </c>
      <c r="T298" s="7">
        <f t="shared" si="13"/>
        <v>9.3593830786414127E-7</v>
      </c>
      <c r="U298" s="7">
        <f t="shared" si="14"/>
        <v>1.4221009265721677E-5</v>
      </c>
      <c r="W298" s="7" t="str">
        <f t="shared" si="15"/>
        <v>ANEMIA</v>
      </c>
    </row>
    <row r="299" spans="7:23" x14ac:dyDescent="0.25">
      <c r="G299" s="7">
        <f>_xlfn.NORM.DIST('DATA SIAP'!I298,$B$2,$B$3, FALSE)</f>
        <v>0.29247827880955168</v>
      </c>
      <c r="H299" s="7">
        <f>_xlfn.NORM.DIST('DATA SIAP'!J298,$C$2,$C$3, FALSE)</f>
        <v>7.4891822745458247E-2</v>
      </c>
      <c r="I299" s="7">
        <f>_xlfn.NORM.DIST('DATA SIAP'!K298,$D$2,$D$3, FALSE)</f>
        <v>0.14591803167133907</v>
      </c>
      <c r="J299" s="7">
        <f>_xlfn.NORM.DIST('DATA SIAP'!L298,$E$2,$E$3, FALSE)</f>
        <v>4.1995640306042137E-2</v>
      </c>
      <c r="L299" s="7">
        <f>_xlfn.NORM.DIST('DATA SIAP'!I298,$B$5,$B$6, FALSE)</f>
        <v>2.7965373107455933E-3</v>
      </c>
      <c r="M299" s="7">
        <f>_xlfn.NORM.DIST('DATA SIAP'!J298,$C$5,$C$6, FALSE)</f>
        <v>7.2612795243368888E-2</v>
      </c>
      <c r="N299" s="7">
        <f>_xlfn.NORM.DIST('DATA SIAP'!K298,$D$5,$D$6, FALSE)</f>
        <v>0.11471631470308251</v>
      </c>
      <c r="O299" s="7">
        <f>_xlfn.NORM.DIST('DATA SIAP'!L298,$E$5,$E$6, FALSE)</f>
        <v>3.9984228905697201E-2</v>
      </c>
      <c r="T299" s="7">
        <f t="shared" si="13"/>
        <v>7.2785282147224802E-5</v>
      </c>
      <c r="U299" s="7">
        <f t="shared" si="14"/>
        <v>4.2635631243557598E-7</v>
      </c>
      <c r="W299" s="7" t="str">
        <f t="shared" si="15"/>
        <v>ANEMIA</v>
      </c>
    </row>
    <row r="300" spans="7:23" x14ac:dyDescent="0.25">
      <c r="G300" s="7">
        <f>_xlfn.NORM.DIST('DATA SIAP'!I299,$B$2,$B$3, FALSE)</f>
        <v>0.28556630759985968</v>
      </c>
      <c r="H300" s="7">
        <f>_xlfn.NORM.DIST('DATA SIAP'!J299,$C$2,$C$3, FALSE)</f>
        <v>5.061046720391453E-2</v>
      </c>
      <c r="I300" s="7">
        <f>_xlfn.NORM.DIST('DATA SIAP'!K299,$D$2,$D$3, FALSE)</f>
        <v>0.27895172274462349</v>
      </c>
      <c r="J300" s="7">
        <f>_xlfn.NORM.DIST('DATA SIAP'!L299,$E$2,$E$3, FALSE)</f>
        <v>3.0776344840236336E-2</v>
      </c>
      <c r="L300" s="7">
        <f>_xlfn.NORM.DIST('DATA SIAP'!I299,$B$5,$B$6, FALSE)</f>
        <v>2.1658038923362813E-3</v>
      </c>
      <c r="M300" s="7">
        <f>_xlfn.NORM.DIST('DATA SIAP'!J299,$C$5,$C$6, FALSE)</f>
        <v>5.1549117452228205E-2</v>
      </c>
      <c r="N300" s="7">
        <f>_xlfn.NORM.DIST('DATA SIAP'!K299,$D$5,$D$6, FALSE)</f>
        <v>0.29358288989759423</v>
      </c>
      <c r="O300" s="7">
        <f>_xlfn.NORM.DIST('DATA SIAP'!L299,$E$5,$E$6, FALSE)</f>
        <v>2.8642348459390142E-2</v>
      </c>
      <c r="T300" s="7">
        <f t="shared" si="13"/>
        <v>6.7281517887561864E-5</v>
      </c>
      <c r="U300" s="7">
        <f t="shared" si="14"/>
        <v>4.2973897304326762E-7</v>
      </c>
      <c r="W300" s="7" t="str">
        <f t="shared" si="15"/>
        <v>SEHAT</v>
      </c>
    </row>
    <row r="301" spans="7:23" x14ac:dyDescent="0.25">
      <c r="G301" s="7">
        <f>_xlfn.NORM.DIST('DATA SIAP'!I300,$B$2,$B$3, FALSE)</f>
        <v>6.2282131541449362E-2</v>
      </c>
      <c r="H301" s="7">
        <f>_xlfn.NORM.DIST('DATA SIAP'!J300,$C$2,$C$3, FALSE)</f>
        <v>0.10210292173925539</v>
      </c>
      <c r="I301" s="7">
        <f>_xlfn.NORM.DIST('DATA SIAP'!K300,$D$2,$D$3, FALSE)</f>
        <v>8.1193976727337386E-2</v>
      </c>
      <c r="J301" s="7">
        <f>_xlfn.NORM.DIST('DATA SIAP'!L300,$E$2,$E$3, FALSE)</f>
        <v>3.9962503296152696E-2</v>
      </c>
      <c r="L301" s="7">
        <f>_xlfn.NORM.DIST('DATA SIAP'!I300,$B$5,$B$6, FALSE)</f>
        <v>0.22193547602789976</v>
      </c>
      <c r="M301" s="7">
        <f>_xlfn.NORM.DIST('DATA SIAP'!J300,$C$5,$C$6, FALSE)</f>
        <v>9.5348616554746732E-2</v>
      </c>
      <c r="N301" s="7">
        <f>_xlfn.NORM.DIST('DATA SIAP'!K300,$D$5,$D$6, FALSE)</f>
        <v>5.6783277125935824E-2</v>
      </c>
      <c r="O301" s="7">
        <f>_xlfn.NORM.DIST('DATA SIAP'!L300,$E$5,$E$6, FALSE)</f>
        <v>3.6953725025700358E-2</v>
      </c>
      <c r="T301" s="7">
        <f t="shared" si="13"/>
        <v>1.1188722843346853E-5</v>
      </c>
      <c r="U301" s="7">
        <f t="shared" si="14"/>
        <v>2.032566734799873E-5</v>
      </c>
      <c r="W301" s="7" t="str">
        <f t="shared" si="15"/>
        <v>ANEMIA</v>
      </c>
    </row>
    <row r="302" spans="7:23" x14ac:dyDescent="0.25">
      <c r="G302" s="7">
        <f>_xlfn.NORM.DIST('DATA SIAP'!I301,$B$2,$B$3, FALSE)</f>
        <v>0.29247827880955168</v>
      </c>
      <c r="H302" s="7">
        <f>_xlfn.NORM.DIST('DATA SIAP'!J301,$C$2,$C$3, FALSE)</f>
        <v>2.9513231882103121E-2</v>
      </c>
      <c r="I302" s="7">
        <f>_xlfn.NORM.DIST('DATA SIAP'!K301,$D$2,$D$3, FALSE)</f>
        <v>0.11136771953090253</v>
      </c>
      <c r="J302" s="7">
        <f>_xlfn.NORM.DIST('DATA SIAP'!L301,$E$2,$E$3, FALSE)</f>
        <v>3.849923551761153E-2</v>
      </c>
      <c r="L302" s="7">
        <f>_xlfn.NORM.DIST('DATA SIAP'!I301,$B$5,$B$6, FALSE)</f>
        <v>2.7965373107455933E-3</v>
      </c>
      <c r="M302" s="7">
        <f>_xlfn.NORM.DIST('DATA SIAP'!J301,$C$5,$C$6, FALSE)</f>
        <v>3.2659917273619755E-2</v>
      </c>
      <c r="N302" s="7">
        <f>_xlfn.NORM.DIST('DATA SIAP'!K301,$D$5,$D$6, FALSE)</f>
        <v>8.270172681067138E-2</v>
      </c>
      <c r="O302" s="7">
        <f>_xlfn.NORM.DIST('DATA SIAP'!L301,$E$5,$E$6, FALSE)</f>
        <v>3.5583116109334359E-2</v>
      </c>
      <c r="T302" s="7">
        <f t="shared" si="13"/>
        <v>2.0068929237226528E-5</v>
      </c>
      <c r="U302" s="7">
        <f t="shared" si="14"/>
        <v>1.2303233487977763E-7</v>
      </c>
      <c r="W302" s="7" t="str">
        <f t="shared" si="15"/>
        <v>ANEMIA</v>
      </c>
    </row>
    <row r="303" spans="7:23" x14ac:dyDescent="0.25">
      <c r="G303" s="7">
        <f>_xlfn.NORM.DIST('DATA SIAP'!I302,$B$2,$B$3, FALSE)</f>
        <v>0.29889263344341388</v>
      </c>
      <c r="H303" s="7">
        <f>_xlfn.NORM.DIST('DATA SIAP'!J302,$C$2,$C$3, FALSE)</f>
        <v>3.0595728782140248E-2</v>
      </c>
      <c r="I303" s="7">
        <f>_xlfn.NORM.DIST('DATA SIAP'!K302,$D$2,$D$3, FALSE)</f>
        <v>0.12713630690141631</v>
      </c>
      <c r="J303" s="7">
        <f>_xlfn.NORM.DIST('DATA SIAP'!L302,$E$2,$E$3, FALSE)</f>
        <v>3.0481632997437703E-2</v>
      </c>
      <c r="L303" s="7">
        <f>_xlfn.NORM.DIST('DATA SIAP'!I302,$B$5,$B$6, FALSE)</f>
        <v>1.1263179024492209E-2</v>
      </c>
      <c r="M303" s="7">
        <f>_xlfn.NORM.DIST('DATA SIAP'!J302,$C$5,$C$6, FALSE)</f>
        <v>3.3219956942335309E-2</v>
      </c>
      <c r="N303" s="7">
        <f>_xlfn.NORM.DIST('DATA SIAP'!K302,$D$5,$D$6, FALSE)</f>
        <v>0.1547817431068946</v>
      </c>
      <c r="O303" s="7">
        <f>_xlfn.NORM.DIST('DATA SIAP'!L302,$E$5,$E$6, FALSE)</f>
        <v>3.1205730934878197E-2</v>
      </c>
      <c r="T303" s="7">
        <f t="shared" si="13"/>
        <v>1.9217027705298819E-5</v>
      </c>
      <c r="U303" s="7">
        <f t="shared" si="14"/>
        <v>8.2725453647787496E-7</v>
      </c>
      <c r="W303" s="7" t="str">
        <f t="shared" si="15"/>
        <v>ANEMIA</v>
      </c>
    </row>
    <row r="304" spans="7:23" x14ac:dyDescent="0.25">
      <c r="G304" s="7">
        <f>_xlfn.NORM.DIST('DATA SIAP'!I303,$B$2,$B$3, FALSE)</f>
        <v>0.19485002111918609</v>
      </c>
      <c r="H304" s="7">
        <f>_xlfn.NORM.DIST('DATA SIAP'!J303,$C$2,$C$3, FALSE)</f>
        <v>0.10210292173925539</v>
      </c>
      <c r="I304" s="7">
        <f>_xlfn.NORM.DIST('DATA SIAP'!K303,$D$2,$D$3, FALSE)</f>
        <v>0.26561722062877446</v>
      </c>
      <c r="J304" s="7">
        <f>_xlfn.NORM.DIST('DATA SIAP'!L303,$E$2,$E$3, FALSE)</f>
        <v>2.2660771312212301E-2</v>
      </c>
      <c r="L304" s="7">
        <f>_xlfn.NORM.DIST('DATA SIAP'!I303,$B$5,$B$6, FALSE)</f>
        <v>6.7266746752881246E-2</v>
      </c>
      <c r="M304" s="7">
        <f>_xlfn.NORM.DIST('DATA SIAP'!J303,$C$5,$C$6, FALSE)</f>
        <v>9.5348616554746732E-2</v>
      </c>
      <c r="N304" s="7">
        <f>_xlfn.NORM.DIST('DATA SIAP'!K303,$D$5,$D$6, FALSE)</f>
        <v>0.25087690118257733</v>
      </c>
      <c r="O304" s="7">
        <f>_xlfn.NORM.DIST('DATA SIAP'!L303,$E$5,$E$6, FALSE)</f>
        <v>2.1483826173419412E-2</v>
      </c>
      <c r="T304" s="7">
        <f t="shared" si="13"/>
        <v>6.4933965192596796E-5</v>
      </c>
      <c r="U304" s="7">
        <f t="shared" si="14"/>
        <v>1.5823849331221334E-5</v>
      </c>
      <c r="W304" s="7" t="str">
        <f t="shared" si="15"/>
        <v>ANEMIA</v>
      </c>
    </row>
    <row r="305" spans="7:23" x14ac:dyDescent="0.25">
      <c r="G305" s="7">
        <f>_xlfn.NORM.DIST('DATA SIAP'!I304,$B$2,$B$3, FALSE)</f>
        <v>0.18082757569176874</v>
      </c>
      <c r="H305" s="7">
        <f>_xlfn.NORM.DIST('DATA SIAP'!J304,$C$2,$C$3, FALSE)</f>
        <v>7.4891822745458247E-2</v>
      </c>
      <c r="I305" s="7">
        <f>_xlfn.NORM.DIST('DATA SIAP'!K304,$D$2,$D$3, FALSE)</f>
        <v>8.497760258572655E-2</v>
      </c>
      <c r="J305" s="7">
        <f>_xlfn.NORM.DIST('DATA SIAP'!L304,$E$2,$E$3, FALSE)</f>
        <v>3.9962503296152696E-2</v>
      </c>
      <c r="L305" s="7">
        <f>_xlfn.NORM.DIST('DATA SIAP'!I304,$B$5,$B$6, FALSE)</f>
        <v>7.752582775334832E-2</v>
      </c>
      <c r="M305" s="7">
        <f>_xlfn.NORM.DIST('DATA SIAP'!J304,$C$5,$C$6, FALSE)</f>
        <v>7.2612795243368888E-2</v>
      </c>
      <c r="N305" s="7">
        <f>_xlfn.NORM.DIST('DATA SIAP'!K304,$D$5,$D$6, FALSE)</f>
        <v>0.10620426432269754</v>
      </c>
      <c r="O305" s="7">
        <f>_xlfn.NORM.DIST('DATA SIAP'!L304,$E$5,$E$6, FALSE)</f>
        <v>3.6953725025700358E-2</v>
      </c>
      <c r="T305" s="7">
        <f t="shared" si="13"/>
        <v>2.493782660768319E-5</v>
      </c>
      <c r="U305" s="7">
        <f t="shared" si="14"/>
        <v>1.0113110611774642E-5</v>
      </c>
      <c r="W305" s="7" t="str">
        <f t="shared" si="15"/>
        <v>ANEMIA</v>
      </c>
    </row>
    <row r="306" spans="7:23" x14ac:dyDescent="0.25">
      <c r="G306" s="7">
        <f>_xlfn.NORM.DIST('DATA SIAP'!I305,$B$2,$B$3, FALSE)</f>
        <v>0.12657029558409025</v>
      </c>
      <c r="H306" s="7">
        <f>_xlfn.NORM.DIST('DATA SIAP'!J305,$C$2,$C$3, FALSE)</f>
        <v>9.6161656224035566E-2</v>
      </c>
      <c r="I306" s="7">
        <f>_xlfn.NORM.DIST('DATA SIAP'!K305,$D$2,$D$3, FALSE)</f>
        <v>0.24936908005607247</v>
      </c>
      <c r="J306" s="7">
        <f>_xlfn.NORM.DIST('DATA SIAP'!L305,$E$2,$E$3, FALSE)</f>
        <v>1.73087372448638E-2</v>
      </c>
      <c r="L306" s="7">
        <f>_xlfn.NORM.DIST('DATA SIAP'!I305,$B$5,$B$6, FALSE)</f>
        <v>0.12793745743646967</v>
      </c>
      <c r="M306" s="7">
        <f>_xlfn.NORM.DIST('DATA SIAP'!J305,$C$5,$C$6, FALSE)</f>
        <v>9.0418829930510661E-2</v>
      </c>
      <c r="N306" s="7">
        <f>_xlfn.NORM.DIST('DATA SIAP'!K305,$D$5,$D$6, FALSE)</f>
        <v>0.22848406731540458</v>
      </c>
      <c r="O306" s="7">
        <f>_xlfn.NORM.DIST('DATA SIAP'!L305,$E$5,$E$6, FALSE)</f>
        <v>1.9521066169382879E-2</v>
      </c>
      <c r="T306" s="7">
        <f t="shared" si="13"/>
        <v>2.8486828313462936E-5</v>
      </c>
      <c r="U306" s="7">
        <f t="shared" si="14"/>
        <v>2.3617888351514713E-5</v>
      </c>
      <c r="W306" s="7" t="str">
        <f t="shared" si="15"/>
        <v>ANEMIA</v>
      </c>
    </row>
    <row r="307" spans="7:23" x14ac:dyDescent="0.25">
      <c r="G307" s="7">
        <f>_xlfn.NORM.DIST('DATA SIAP'!I306,$B$2,$B$3, FALSE)</f>
        <v>0.29247827880955168</v>
      </c>
      <c r="H307" s="7">
        <f>_xlfn.NORM.DIST('DATA SIAP'!J306,$C$2,$C$3, FALSE)</f>
        <v>9.7115001686991193E-2</v>
      </c>
      <c r="I307" s="7">
        <f>_xlfn.NORM.DIST('DATA SIAP'!K306,$D$2,$D$3, FALSE)</f>
        <v>6.7385222064391778E-2</v>
      </c>
      <c r="J307" s="7">
        <f>_xlfn.NORM.DIST('DATA SIAP'!L306,$E$2,$E$3, FALSE)</f>
        <v>4.2668950570174752E-2</v>
      </c>
      <c r="L307" s="7">
        <f>_xlfn.NORM.DIST('DATA SIAP'!I306,$B$5,$B$6, FALSE)</f>
        <v>2.7965373107455933E-3</v>
      </c>
      <c r="M307" s="7">
        <f>_xlfn.NORM.DIST('DATA SIAP'!J306,$C$5,$C$6, FALSE)</f>
        <v>9.1208750568405911E-2</v>
      </c>
      <c r="N307" s="7">
        <f>_xlfn.NORM.DIST('DATA SIAP'!K306,$D$5,$D$6, FALSE)</f>
        <v>8.5159033170030513E-2</v>
      </c>
      <c r="O307" s="7">
        <f>_xlfn.NORM.DIST('DATA SIAP'!L306,$E$5,$E$6, FALSE)</f>
        <v>4.0349352595594822E-2</v>
      </c>
      <c r="T307" s="7">
        <f t="shared" si="13"/>
        <v>4.4285234294682925E-5</v>
      </c>
      <c r="U307" s="7">
        <f t="shared" si="14"/>
        <v>4.0118938149211824E-7</v>
      </c>
      <c r="W307" s="7" t="str">
        <f t="shared" si="15"/>
        <v>SEHAT</v>
      </c>
    </row>
    <row r="308" spans="7:23" x14ac:dyDescent="0.25">
      <c r="G308" s="7">
        <f>_xlfn.NORM.DIST('DATA SIAP'!I307,$B$2,$B$3, FALSE)</f>
        <v>1.6629363345762728E-3</v>
      </c>
      <c r="H308" s="7">
        <f>_xlfn.NORM.DIST('DATA SIAP'!J307,$C$2,$C$3, FALSE)</f>
        <v>2.3805817976595704E-2</v>
      </c>
      <c r="I308" s="7">
        <f>_xlfn.NORM.DIST('DATA SIAP'!K307,$D$2,$D$3, FALSE)</f>
        <v>0.27895172274462349</v>
      </c>
      <c r="J308" s="7">
        <f>_xlfn.NORM.DIST('DATA SIAP'!L307,$E$2,$E$3, FALSE)</f>
        <v>4.293211980045783E-2</v>
      </c>
      <c r="L308" s="7">
        <f>_xlfn.NORM.DIST('DATA SIAP'!I307,$B$5,$B$6, FALSE)</f>
        <v>0.25957322872828414</v>
      </c>
      <c r="M308" s="7">
        <f>_xlfn.NORM.DIST('DATA SIAP'!J307,$C$5,$C$6, FALSE)</f>
        <v>2.7108053792358363E-2</v>
      </c>
      <c r="N308" s="7">
        <f>_xlfn.NORM.DIST('DATA SIAP'!K307,$D$5,$D$6, FALSE)</f>
        <v>0.29358288989759423</v>
      </c>
      <c r="O308" s="7">
        <f>_xlfn.NORM.DIST('DATA SIAP'!L307,$E$5,$E$6, FALSE)</f>
        <v>4.0443872162280133E-2</v>
      </c>
      <c r="T308" s="7">
        <f t="shared" si="13"/>
        <v>2.5708248688714677E-7</v>
      </c>
      <c r="U308" s="7">
        <f t="shared" si="14"/>
        <v>3.8244300357039345E-5</v>
      </c>
      <c r="W308" s="7" t="str">
        <f t="shared" si="15"/>
        <v>SEHAT</v>
      </c>
    </row>
    <row r="309" spans="7:23" x14ac:dyDescent="0.25">
      <c r="G309" s="7">
        <f>_xlfn.NORM.DIST('DATA SIAP'!I308,$B$2,$B$3, FALSE)</f>
        <v>0.1022707770788731</v>
      </c>
      <c r="H309" s="7">
        <f>_xlfn.NORM.DIST('DATA SIAP'!J308,$C$2,$C$3, FALSE)</f>
        <v>9.9626302715364698E-2</v>
      </c>
      <c r="I309" s="7">
        <f>_xlfn.NORM.DIST('DATA SIAP'!K308,$D$2,$D$3, FALSE)</f>
        <v>0.12713630690141631</v>
      </c>
      <c r="J309" s="7">
        <f>_xlfn.NORM.DIST('DATA SIAP'!L308,$E$2,$E$3, FALSE)</f>
        <v>2.8002002206489907E-2</v>
      </c>
      <c r="L309" s="7">
        <f>_xlfn.NORM.DIST('DATA SIAP'!I308,$B$5,$B$6, FALSE)</f>
        <v>0.1578896925069152</v>
      </c>
      <c r="M309" s="7">
        <f>_xlfn.NORM.DIST('DATA SIAP'!J308,$C$5,$C$6, FALSE)</f>
        <v>9.3289747714858401E-2</v>
      </c>
      <c r="N309" s="7">
        <f>_xlfn.NORM.DIST('DATA SIAP'!K308,$D$5,$D$6, FALSE)</f>
        <v>0.1547817431068946</v>
      </c>
      <c r="O309" s="7">
        <f>_xlfn.NORM.DIST('DATA SIAP'!L308,$E$5,$E$6, FALSE)</f>
        <v>2.6192852497223997E-2</v>
      </c>
      <c r="T309" s="7">
        <f t="shared" si="13"/>
        <v>1.9669196866334209E-5</v>
      </c>
      <c r="U309" s="7">
        <f t="shared" si="14"/>
        <v>2.7334758438193857E-5</v>
      </c>
      <c r="W309" s="7" t="str">
        <f t="shared" si="15"/>
        <v>SEHAT</v>
      </c>
    </row>
    <row r="310" spans="7:23" x14ac:dyDescent="0.25">
      <c r="G310" s="7">
        <f>_xlfn.NORM.DIST('DATA SIAP'!I309,$B$2,$B$3, FALSE)</f>
        <v>0.1022707770788731</v>
      </c>
      <c r="H310" s="7">
        <f>_xlfn.NORM.DIST('DATA SIAP'!J309,$C$2,$C$3, FALSE)</f>
        <v>7.971264929267137E-2</v>
      </c>
      <c r="I310" s="7">
        <f>_xlfn.NORM.DIST('DATA SIAP'!K309,$D$2,$D$3, FALSE)</f>
        <v>0.2720499982540398</v>
      </c>
      <c r="J310" s="7">
        <f>_xlfn.NORM.DIST('DATA SIAP'!L309,$E$2,$E$3, FALSE)</f>
        <v>3.6796195221948311E-2</v>
      </c>
      <c r="L310" s="7">
        <f>_xlfn.NORM.DIST('DATA SIAP'!I309,$B$5,$B$6, FALSE)</f>
        <v>0.1578896925069152</v>
      </c>
      <c r="M310" s="7">
        <f>_xlfn.NORM.DIST('DATA SIAP'!J309,$C$5,$C$6, FALSE)</f>
        <v>7.7198714394277029E-2</v>
      </c>
      <c r="N310" s="7">
        <f>_xlfn.NORM.DIST('DATA SIAP'!K309,$D$5,$D$6, FALSE)</f>
        <v>0.26075489413603392</v>
      </c>
      <c r="O310" s="7">
        <f>_xlfn.NORM.DIST('DATA SIAP'!L309,$E$5,$E$6, FALSE)</f>
        <v>3.6274184372310163E-2</v>
      </c>
      <c r="T310" s="7">
        <f t="shared" si="13"/>
        <v>4.4251991653026364E-5</v>
      </c>
      <c r="U310" s="7">
        <f t="shared" si="14"/>
        <v>5.2773874964740673E-5</v>
      </c>
      <c r="W310" s="7" t="str">
        <f t="shared" si="15"/>
        <v>ANEMIA</v>
      </c>
    </row>
    <row r="311" spans="7:23" x14ac:dyDescent="0.25">
      <c r="G311" s="7">
        <f>_xlfn.NORM.DIST('DATA SIAP'!I310,$B$2,$B$3, FALSE)</f>
        <v>0.12343957965000014</v>
      </c>
      <c r="H311" s="7">
        <f>_xlfn.NORM.DIST('DATA SIAP'!J310,$C$2,$C$3, FALSE)</f>
        <v>7.0291797410209786E-2</v>
      </c>
      <c r="I311" s="7">
        <f>_xlfn.NORM.DIST('DATA SIAP'!K310,$D$2,$D$3, FALSE)</f>
        <v>0.27722454854897127</v>
      </c>
      <c r="J311" s="7">
        <f>_xlfn.NORM.DIST('DATA SIAP'!L310,$E$2,$E$3, FALSE)</f>
        <v>4.2969903488248903E-2</v>
      </c>
      <c r="L311" s="7">
        <f>_xlfn.NORM.DIST('DATA SIAP'!I310,$B$5,$B$6, FALSE)</f>
        <v>4.2501347029991324E-5</v>
      </c>
      <c r="M311" s="7">
        <f>_xlfn.NORM.DIST('DATA SIAP'!J310,$C$5,$C$6, FALSE)</f>
        <v>6.9248824946712695E-2</v>
      </c>
      <c r="N311" s="7">
        <f>_xlfn.NORM.DIST('DATA SIAP'!K310,$D$5,$D$6, FALSE)</f>
        <v>0.26955695164547089</v>
      </c>
      <c r="O311" s="7">
        <f>_xlfn.NORM.DIST('DATA SIAP'!L310,$E$5,$E$6, FALSE)</f>
        <v>4.0450323523371287E-2</v>
      </c>
      <c r="T311" s="7">
        <f t="shared" si="13"/>
        <v>5.6047665334288633E-5</v>
      </c>
      <c r="U311" s="7">
        <f t="shared" si="14"/>
        <v>1.4689690690646598E-8</v>
      </c>
      <c r="W311" s="7" t="str">
        <f t="shared" si="15"/>
        <v>SEHAT</v>
      </c>
    </row>
    <row r="312" spans="7:23" x14ac:dyDescent="0.25">
      <c r="G312" s="7">
        <f>_xlfn.NORM.DIST('DATA SIAP'!I311,$B$2,$B$3, FALSE)</f>
        <v>6.2282131541449362E-2</v>
      </c>
      <c r="H312" s="7">
        <f>_xlfn.NORM.DIST('DATA SIAP'!J311,$C$2,$C$3, FALSE)</f>
        <v>9.0756897818902435E-2</v>
      </c>
      <c r="I312" s="7">
        <f>_xlfn.NORM.DIST('DATA SIAP'!K311,$D$2,$D$3, FALSE)</f>
        <v>0.27431225568526008</v>
      </c>
      <c r="J312" s="7">
        <f>_xlfn.NORM.DIST('DATA SIAP'!L311,$E$2,$E$3, FALSE)</f>
        <v>2.826078859283163E-2</v>
      </c>
      <c r="L312" s="7">
        <f>_xlfn.NORM.DIST('DATA SIAP'!I311,$B$5,$B$6, FALSE)</f>
        <v>0.22193547602789976</v>
      </c>
      <c r="M312" s="7">
        <f>_xlfn.NORM.DIST('DATA SIAP'!J311,$C$5,$C$6, FALSE)</f>
        <v>8.6339459663688722E-2</v>
      </c>
      <c r="N312" s="7">
        <f>_xlfn.NORM.DIST('DATA SIAP'!K311,$D$5,$D$6, FALSE)</f>
        <v>0.29219497405814265</v>
      </c>
      <c r="O312" s="7">
        <f>_xlfn.NORM.DIST('DATA SIAP'!L311,$E$5,$E$6, FALSE)</f>
        <v>2.9337548136933081E-2</v>
      </c>
      <c r="T312" s="7">
        <f t="shared" si="13"/>
        <v>2.3761561586397734E-5</v>
      </c>
      <c r="U312" s="7">
        <f t="shared" si="14"/>
        <v>7.518957402781717E-5</v>
      </c>
      <c r="W312" s="7" t="str">
        <f t="shared" si="15"/>
        <v>SEHAT</v>
      </c>
    </row>
    <row r="313" spans="7:23" x14ac:dyDescent="0.25">
      <c r="G313" s="7">
        <f>_xlfn.NORM.DIST('DATA SIAP'!I312,$B$2,$B$3, FALSE)</f>
        <v>1.2967934154064259E-3</v>
      </c>
      <c r="H313" s="7">
        <f>_xlfn.NORM.DIST('DATA SIAP'!J312,$C$2,$C$3, FALSE)</f>
        <v>3.5974461640923015E-2</v>
      </c>
      <c r="I313" s="7">
        <f>_xlfn.NORM.DIST('DATA SIAP'!K312,$D$2,$D$3, FALSE)</f>
        <v>8.497760258572655E-2</v>
      </c>
      <c r="J313" s="7">
        <f>_xlfn.NORM.DIST('DATA SIAP'!L312,$E$2,$E$3, FALSE)</f>
        <v>1.0036166389547208E-2</v>
      </c>
      <c r="L313" s="7">
        <f>_xlfn.NORM.DIST('DATA SIAP'!I312,$B$5,$B$6, FALSE)</f>
        <v>0.24479804495420682</v>
      </c>
      <c r="M313" s="7">
        <f>_xlfn.NORM.DIST('DATA SIAP'!J312,$C$5,$C$6, FALSE)</f>
        <v>3.8773416867786056E-2</v>
      </c>
      <c r="N313" s="7">
        <f>_xlfn.NORM.DIST('DATA SIAP'!K312,$D$5,$D$6, FALSE)</f>
        <v>0.10620426432269754</v>
      </c>
      <c r="O313" s="7">
        <f>_xlfn.NORM.DIST('DATA SIAP'!L312,$E$5,$E$6, FALSE)</f>
        <v>1.232420488663989E-2</v>
      </c>
      <c r="T313" s="7">
        <f t="shared" si="13"/>
        <v>2.1574453736977917E-8</v>
      </c>
      <c r="U313" s="7">
        <f t="shared" si="14"/>
        <v>5.6867992363259193E-6</v>
      </c>
      <c r="W313" s="7" t="str">
        <f t="shared" si="15"/>
        <v>ANEMIA</v>
      </c>
    </row>
    <row r="314" spans="7:23" x14ac:dyDescent="0.25">
      <c r="G314" s="7">
        <f>_xlfn.NORM.DIST('DATA SIAP'!I313,$B$2,$B$3, FALSE)</f>
        <v>0.27939584624189906</v>
      </c>
      <c r="H314" s="7">
        <f>_xlfn.NORM.DIST('DATA SIAP'!J313,$C$2,$C$3, FALSE)</f>
        <v>4.7671367516506913E-2</v>
      </c>
      <c r="I314" s="7">
        <f>_xlfn.NORM.DIST('DATA SIAP'!K313,$D$2,$D$3, FALSE)</f>
        <v>0.19482359643262351</v>
      </c>
      <c r="J314" s="7">
        <f>_xlfn.NORM.DIST('DATA SIAP'!L313,$E$2,$E$3, FALSE)</f>
        <v>1.0601473644382594E-2</v>
      </c>
      <c r="L314" s="7">
        <f>_xlfn.NORM.DIST('DATA SIAP'!I313,$B$5,$B$6, FALSE)</f>
        <v>2.0653187980494803E-2</v>
      </c>
      <c r="M314" s="7">
        <f>_xlfn.NORM.DIST('DATA SIAP'!J313,$C$5,$C$6, FALSE)</f>
        <v>4.9483128589422345E-2</v>
      </c>
      <c r="N314" s="7">
        <f>_xlfn.NORM.DIST('DATA SIAP'!K313,$D$5,$D$6, FALSE)</f>
        <v>0.16449544010737174</v>
      </c>
      <c r="O314" s="7">
        <f>_xlfn.NORM.DIST('DATA SIAP'!L313,$E$5,$E$6, FALSE)</f>
        <v>1.2910020407222972E-2</v>
      </c>
      <c r="T314" s="7">
        <f t="shared" si="13"/>
        <v>1.4917214359499272E-5</v>
      </c>
      <c r="U314" s="7">
        <f t="shared" si="14"/>
        <v>9.9345923855406293E-7</v>
      </c>
      <c r="W314" s="7" t="str">
        <f t="shared" si="15"/>
        <v>ANEMIA</v>
      </c>
    </row>
    <row r="315" spans="7:23" x14ac:dyDescent="0.25">
      <c r="G315" s="7">
        <f>_xlfn.NORM.DIST('DATA SIAP'!I314,$B$2,$B$3, FALSE)</f>
        <v>0.24788712488480244</v>
      </c>
      <c r="H315" s="7">
        <f>_xlfn.NORM.DIST('DATA SIAP'!J314,$C$2,$C$3, FALSE)</f>
        <v>7.9529562482071894E-2</v>
      </c>
      <c r="I315" s="7">
        <f>_xlfn.NORM.DIST('DATA SIAP'!K314,$D$2,$D$3, FALSE)</f>
        <v>7.5864629322429281E-2</v>
      </c>
      <c r="J315" s="7">
        <f>_xlfn.NORM.DIST('DATA SIAP'!L314,$E$2,$E$3, FALSE)</f>
        <v>1.2206716181644182E-2</v>
      </c>
      <c r="L315" s="7">
        <f>_xlfn.NORM.DIST('DATA SIAP'!I314,$B$5,$B$6, FALSE)</f>
        <v>3.566020423226382E-2</v>
      </c>
      <c r="M315" s="7">
        <f>_xlfn.NORM.DIST('DATA SIAP'!J314,$C$5,$C$6, FALSE)</f>
        <v>7.6535332316773924E-2</v>
      </c>
      <c r="N315" s="7">
        <f>_xlfn.NORM.DIST('DATA SIAP'!K314,$D$5,$D$6, FALSE)</f>
        <v>9.5359332080553083E-2</v>
      </c>
      <c r="O315" s="7">
        <f>_xlfn.NORM.DIST('DATA SIAP'!L314,$E$5,$E$6, FALSE)</f>
        <v>1.4545998876659373E-2</v>
      </c>
      <c r="T315" s="7">
        <f t="shared" si="13"/>
        <v>9.8997250182334137E-6</v>
      </c>
      <c r="U315" s="7">
        <f t="shared" si="14"/>
        <v>1.7329161965569949E-6</v>
      </c>
      <c r="W315" s="7" t="str">
        <f t="shared" si="15"/>
        <v>SEHAT</v>
      </c>
    </row>
    <row r="316" spans="7:23" x14ac:dyDescent="0.25">
      <c r="G316" s="7">
        <f>_xlfn.NORM.DIST('DATA SIAP'!I315,$B$2,$B$3, FALSE)</f>
        <v>2.1201250670888029E-3</v>
      </c>
      <c r="H316" s="7">
        <f>_xlfn.NORM.DIST('DATA SIAP'!J315,$C$2,$C$3, FALSE)</f>
        <v>0.10369262057512099</v>
      </c>
      <c r="I316" s="7">
        <f>_xlfn.NORM.DIST('DATA SIAP'!K315,$D$2,$D$3, FALSE)</f>
        <v>0.27431225568526008</v>
      </c>
      <c r="J316" s="7">
        <f>_xlfn.NORM.DIST('DATA SIAP'!L315,$E$2,$E$3, FALSE)</f>
        <v>4.2935242772639506E-2</v>
      </c>
      <c r="L316" s="7">
        <f>_xlfn.NORM.DIST('DATA SIAP'!I315,$B$5,$B$6, FALSE)</f>
        <v>0.27340634464238739</v>
      </c>
      <c r="M316" s="7">
        <f>_xlfn.NORM.DIST('DATA SIAP'!J315,$C$5,$C$6, FALSE)</f>
        <v>9.669566850487403E-2</v>
      </c>
      <c r="N316" s="7">
        <f>_xlfn.NORM.DIST('DATA SIAP'!K315,$D$5,$D$6, FALSE)</f>
        <v>0.29219497405814265</v>
      </c>
      <c r="O316" s="7">
        <f>_xlfn.NORM.DIST('DATA SIAP'!L315,$E$5,$E$6, FALSE)</f>
        <v>4.0050008438787192E-2</v>
      </c>
      <c r="T316" s="7">
        <f t="shared" si="13"/>
        <v>1.4040120860990461E-6</v>
      </c>
      <c r="U316" s="7">
        <f t="shared" si="14"/>
        <v>1.4161719056260486E-4</v>
      </c>
      <c r="W316" s="7" t="str">
        <f t="shared" si="15"/>
        <v>ANEMIA</v>
      </c>
    </row>
    <row r="317" spans="7:23" x14ac:dyDescent="0.25">
      <c r="G317" s="7">
        <f>_xlfn.NORM.DIST('DATA SIAP'!I316,$B$2,$B$3, FALSE)</f>
        <v>0.24788712488480244</v>
      </c>
      <c r="H317" s="7">
        <f>_xlfn.NORM.DIST('DATA SIAP'!J316,$C$2,$C$3, FALSE)</f>
        <v>5.239035074725458E-2</v>
      </c>
      <c r="I317" s="7">
        <f>_xlfn.NORM.DIST('DATA SIAP'!K316,$D$2,$D$3, FALSE)</f>
        <v>0.13883118035487624</v>
      </c>
      <c r="J317" s="7">
        <f>_xlfn.NORM.DIST('DATA SIAP'!L316,$E$2,$E$3, FALSE)</f>
        <v>4.2607018234681632E-2</v>
      </c>
      <c r="L317" s="7">
        <f>_xlfn.NORM.DIST('DATA SIAP'!I316,$B$5,$B$6, FALSE)</f>
        <v>3.566020423226382E-2</v>
      </c>
      <c r="M317" s="7">
        <f>_xlfn.NORM.DIST('DATA SIAP'!J316,$C$5,$C$6, FALSE)</f>
        <v>5.3697713120298272E-2</v>
      </c>
      <c r="N317" s="7">
        <f>_xlfn.NORM.DIST('DATA SIAP'!K316,$D$5,$D$6, FALSE)</f>
        <v>0.16777601234596373</v>
      </c>
      <c r="O317" s="7">
        <f>_xlfn.NORM.DIST('DATA SIAP'!L316,$E$5,$E$6, FALSE)</f>
        <v>3.9633431291055711E-2</v>
      </c>
      <c r="T317" s="7">
        <f t="shared" si="13"/>
        <v>4.1655832205198722E-5</v>
      </c>
      <c r="U317" s="7">
        <f t="shared" si="14"/>
        <v>5.8284915345445797E-6</v>
      </c>
      <c r="W317" s="7" t="str">
        <f t="shared" si="15"/>
        <v>ANEMIA</v>
      </c>
    </row>
    <row r="318" spans="7:23" x14ac:dyDescent="0.25">
      <c r="G318" s="7">
        <f>_xlfn.NORM.DIST('DATA SIAP'!I317,$B$2,$B$3, FALSE)</f>
        <v>9.9456018397713952E-2</v>
      </c>
      <c r="H318" s="7">
        <f>_xlfn.NORM.DIST('DATA SIAP'!J317,$C$2,$C$3, FALSE)</f>
        <v>5.3797001958017156E-2</v>
      </c>
      <c r="I318" s="7">
        <f>_xlfn.NORM.DIST('DATA SIAP'!K317,$D$2,$D$3, FALSE)</f>
        <v>0.15805433943805822</v>
      </c>
      <c r="J318" s="7">
        <f>_xlfn.NORM.DIST('DATA SIAP'!L317,$E$2,$E$3, FALSE)</f>
        <v>2.3496529236967701E-2</v>
      </c>
      <c r="L318" s="7">
        <f>_xlfn.NORM.DIST('DATA SIAP'!I317,$B$5,$B$6, FALSE)</f>
        <v>2.0999310805191293E-5</v>
      </c>
      <c r="M318" s="7">
        <f>_xlfn.NORM.DIST('DATA SIAP'!J317,$C$5,$C$6, FALSE)</f>
        <v>5.43734620098731E-2</v>
      </c>
      <c r="N318" s="7">
        <f>_xlfn.NORM.DIST('DATA SIAP'!K317,$D$5,$D$6, FALSE)</f>
        <v>0.12655751590758546</v>
      </c>
      <c r="O318" s="7">
        <f>_xlfn.NORM.DIST('DATA SIAP'!L317,$E$5,$E$6, FALSE)</f>
        <v>2.2221506739935306E-2</v>
      </c>
      <c r="T318" s="7">
        <f t="shared" si="13"/>
        <v>1.0774612571443762E-5</v>
      </c>
      <c r="U318" s="7">
        <f t="shared" si="14"/>
        <v>1.4698685056932357E-9</v>
      </c>
      <c r="W318" s="7" t="str">
        <f t="shared" si="15"/>
        <v>ANEMIA</v>
      </c>
    </row>
    <row r="319" spans="7:23" x14ac:dyDescent="0.25">
      <c r="G319" s="7">
        <f>_xlfn.NORM.DIST('DATA SIAP'!I318,$B$2,$B$3, FALSE)</f>
        <v>0.26753262994835175</v>
      </c>
      <c r="H319" s="7">
        <f>_xlfn.NORM.DIST('DATA SIAP'!J318,$C$2,$C$3, FALSE)</f>
        <v>9.5153178986108602E-2</v>
      </c>
      <c r="I319" s="7">
        <f>_xlfn.NORM.DIST('DATA SIAP'!K318,$D$2,$D$3, FALSE)</f>
        <v>9.0673112978836873E-2</v>
      </c>
      <c r="J319" s="7">
        <f>_xlfn.NORM.DIST('DATA SIAP'!L318,$E$2,$E$3, FALSE)</f>
        <v>2.4315641259175715E-2</v>
      </c>
      <c r="L319" s="7">
        <f>_xlfn.NORM.DIST('DATA SIAP'!I318,$B$5,$B$6, FALSE)</f>
        <v>1.2732285241197699E-3</v>
      </c>
      <c r="M319" s="7">
        <f>_xlfn.NORM.DIST('DATA SIAP'!J318,$C$5,$C$6, FALSE)</f>
        <v>8.9582947768660035E-2</v>
      </c>
      <c r="N319" s="7">
        <f>_xlfn.NORM.DIST('DATA SIAP'!K318,$D$5,$D$6, FALSE)</f>
        <v>6.4715088889354178E-2</v>
      </c>
      <c r="O319" s="7">
        <f>_xlfn.NORM.DIST('DATA SIAP'!L318,$E$5,$E$6, FALSE)</f>
        <v>2.5919623660079934E-2</v>
      </c>
      <c r="T319" s="7">
        <f t="shared" si="13"/>
        <v>3.0434536734856E-5</v>
      </c>
      <c r="U319" s="7">
        <f t="shared" si="14"/>
        <v>8.7577181539117425E-8</v>
      </c>
      <c r="W319" s="7" t="str">
        <f t="shared" si="15"/>
        <v>SEHAT</v>
      </c>
    </row>
    <row r="320" spans="7:23" x14ac:dyDescent="0.25">
      <c r="G320" s="7">
        <f>_xlfn.NORM.DIST('DATA SIAP'!I319,$B$2,$B$3, FALSE)</f>
        <v>0.1022707770788731</v>
      </c>
      <c r="H320" s="7">
        <f>_xlfn.NORM.DIST('DATA SIAP'!J319,$C$2,$C$3, FALSE)</f>
        <v>3.3303204596245098E-2</v>
      </c>
      <c r="I320" s="7">
        <f>_xlfn.NORM.DIST('DATA SIAP'!K319,$D$2,$D$3, FALSE)</f>
        <v>0.2229162921895402</v>
      </c>
      <c r="J320" s="7">
        <f>_xlfn.NORM.DIST('DATA SIAP'!L319,$E$2,$E$3, FALSE)</f>
        <v>1.2629909465511889E-2</v>
      </c>
      <c r="L320" s="7">
        <f>_xlfn.NORM.DIST('DATA SIAP'!I319,$B$5,$B$6, FALSE)</f>
        <v>0.1578896925069152</v>
      </c>
      <c r="M320" s="7">
        <f>_xlfn.NORM.DIST('DATA SIAP'!J319,$C$5,$C$6, FALSE)</f>
        <v>3.6265544838629503E-2</v>
      </c>
      <c r="N320" s="7">
        <f>_xlfn.NORM.DIST('DATA SIAP'!K319,$D$5,$D$6, FALSE)</f>
        <v>0.25345247760741169</v>
      </c>
      <c r="O320" s="7">
        <f>_xlfn.NORM.DIST('DATA SIAP'!L319,$E$5,$E$6, FALSE)</f>
        <v>1.497101232323486E-2</v>
      </c>
      <c r="T320" s="7">
        <f t="shared" si="13"/>
        <v>5.1997445721075705E-6</v>
      </c>
      <c r="U320" s="7">
        <f t="shared" si="14"/>
        <v>9.9453645412932688E-6</v>
      </c>
      <c r="W320" s="7" t="str">
        <f t="shared" si="15"/>
        <v>SEHAT</v>
      </c>
    </row>
    <row r="321" spans="7:23" x14ac:dyDescent="0.25">
      <c r="G321" s="7">
        <f>_xlfn.NORM.DIST('DATA SIAP'!I320,$B$2,$B$3, FALSE)</f>
        <v>7.1119540327410455E-2</v>
      </c>
      <c r="H321" s="7">
        <f>_xlfn.NORM.DIST('DATA SIAP'!J320,$C$2,$C$3, FALSE)</f>
        <v>8.9508741460164298E-2</v>
      </c>
      <c r="I321" s="7">
        <f>_xlfn.NORM.DIST('DATA SIAP'!K320,$D$2,$D$3, FALSE)</f>
        <v>9.0673112978836873E-2</v>
      </c>
      <c r="J321" s="7">
        <f>_xlfn.NORM.DIST('DATA SIAP'!L320,$E$2,$E$3, FALSE)</f>
        <v>4.1555912378453408E-2</v>
      </c>
      <c r="L321" s="7">
        <f>_xlfn.NORM.DIST('DATA SIAP'!I320,$B$5,$B$6, FALSE)</f>
        <v>0.2058796345211516</v>
      </c>
      <c r="M321" s="7">
        <f>_xlfn.NORM.DIST('DATA SIAP'!J320,$C$5,$C$6, FALSE)</f>
        <v>8.5315924991852532E-2</v>
      </c>
      <c r="N321" s="7">
        <f>_xlfn.NORM.DIST('DATA SIAP'!K320,$D$5,$D$6, FALSE)</f>
        <v>6.4715088889354178E-2</v>
      </c>
      <c r="O321" s="7">
        <f>_xlfn.NORM.DIST('DATA SIAP'!L320,$E$5,$E$6, FALSE)</f>
        <v>3.8508934065259813E-2</v>
      </c>
      <c r="T321" s="7">
        <f t="shared" si="13"/>
        <v>1.3006729864731367E-5</v>
      </c>
      <c r="U321" s="7">
        <f t="shared" si="14"/>
        <v>2.0037131762890229E-5</v>
      </c>
      <c r="W321" s="7" t="str">
        <f t="shared" si="15"/>
        <v>ANEMIA</v>
      </c>
    </row>
    <row r="322" spans="7:23" x14ac:dyDescent="0.25">
      <c r="G322" s="7">
        <f>_xlfn.NORM.DIST('DATA SIAP'!I321,$B$2,$B$3, FALSE)</f>
        <v>0.26753262994835175</v>
      </c>
      <c r="H322" s="7">
        <f>_xlfn.NORM.DIST('DATA SIAP'!J321,$C$2,$C$3, FALSE)</f>
        <v>9.8946481219223462E-2</v>
      </c>
      <c r="I322" s="7">
        <f>_xlfn.NORM.DIST('DATA SIAP'!K321,$D$2,$D$3, FALSE)</f>
        <v>9.470219971360351E-2</v>
      </c>
      <c r="J322" s="7">
        <f>_xlfn.NORM.DIST('DATA SIAP'!L321,$E$2,$E$3, FALSE)</f>
        <v>1.966525224092833E-2</v>
      </c>
      <c r="L322" s="7">
        <f>_xlfn.NORM.DIST('DATA SIAP'!I321,$B$5,$B$6, FALSE)</f>
        <v>1.2732285241197699E-3</v>
      </c>
      <c r="M322" s="7">
        <f>_xlfn.NORM.DIST('DATA SIAP'!J321,$C$5,$C$6, FALSE)</f>
        <v>9.298873747079453E-2</v>
      </c>
      <c r="N322" s="7">
        <f>_xlfn.NORM.DIST('DATA SIAP'!K321,$D$5,$D$6, FALSE)</f>
        <v>0.1176432423163154</v>
      </c>
      <c r="O322" s="7">
        <f>_xlfn.NORM.DIST('DATA SIAP'!L321,$E$5,$E$6, FALSE)</f>
        <v>1.8832721848194078E-2</v>
      </c>
      <c r="T322" s="7">
        <f t="shared" si="13"/>
        <v>2.6732469624431652E-5</v>
      </c>
      <c r="U322" s="7">
        <f t="shared" si="14"/>
        <v>1.2007201547048574E-7</v>
      </c>
      <c r="W322" s="7" t="str">
        <f t="shared" si="15"/>
        <v>SEHAT</v>
      </c>
    </row>
    <row r="323" spans="7:23" x14ac:dyDescent="0.25">
      <c r="G323" s="7">
        <f>_xlfn.NORM.DIST('DATA SIAP'!I322,$B$2,$B$3, FALSE)</f>
        <v>9.1134535664730731E-2</v>
      </c>
      <c r="H323" s="7">
        <f>_xlfn.NORM.DIST('DATA SIAP'!J322,$C$2,$C$3, FALSE)</f>
        <v>5.2197094921759814E-2</v>
      </c>
      <c r="I323" s="7">
        <f>_xlfn.NORM.DIST('DATA SIAP'!K322,$D$2,$D$3, FALSE)</f>
        <v>0.23371301560207772</v>
      </c>
      <c r="J323" s="7">
        <f>_xlfn.NORM.DIST('DATA SIAP'!L322,$E$2,$E$3, FALSE)</f>
        <v>1.0050594748312996E-2</v>
      </c>
      <c r="L323" s="7">
        <f>_xlfn.NORM.DIST('DATA SIAP'!I322,$B$5,$B$6, FALSE)</f>
        <v>0.17365085003564773</v>
      </c>
      <c r="M323" s="7">
        <f>_xlfn.NORM.DIST('DATA SIAP'!J322,$C$5,$C$6, FALSE)</f>
        <v>5.295805972102325E-2</v>
      </c>
      <c r="N323" s="7">
        <f>_xlfn.NORM.DIST('DATA SIAP'!K322,$D$5,$D$6, FALSE)</f>
        <v>0.26307336761375211</v>
      </c>
      <c r="O323" s="7">
        <f>_xlfn.NORM.DIST('DATA SIAP'!L322,$E$5,$E$6, FALSE)</f>
        <v>1.0158254708382988E-2</v>
      </c>
      <c r="T323" s="7">
        <f t="shared" ref="T323:T386" si="16">$R$2 * G323 * H323 * I323 * J323</f>
        <v>6.0590754397476697E-6</v>
      </c>
      <c r="U323" s="7">
        <f t="shared" ref="U323:U386" si="17">$R$3 * L323 * M323 * N323 * O323</f>
        <v>1.1249415898798096E-5</v>
      </c>
      <c r="W323" s="7" t="str">
        <f t="shared" si="15"/>
        <v>SEHAT</v>
      </c>
    </row>
    <row r="324" spans="7:23" x14ac:dyDescent="0.25">
      <c r="G324" s="7">
        <f>_xlfn.NORM.DIST('DATA SIAP'!I323,$B$2,$B$3, FALSE)</f>
        <v>0.13958651423065163</v>
      </c>
      <c r="H324" s="7">
        <f>_xlfn.NORM.DIST('DATA SIAP'!J323,$C$2,$C$3, FALSE)</f>
        <v>2.2633098519131582E-2</v>
      </c>
      <c r="I324" s="7">
        <f>_xlfn.NORM.DIST('DATA SIAP'!K323,$D$2,$D$3, FALSE)</f>
        <v>0.26838104088565923</v>
      </c>
      <c r="J324" s="7">
        <f>_xlfn.NORM.DIST('DATA SIAP'!L323,$E$2,$E$3, FALSE)</f>
        <v>1.0794379454086088E-2</v>
      </c>
      <c r="L324" s="7">
        <f>_xlfn.NORM.DIST('DATA SIAP'!I323,$B$5,$B$6, FALSE)</f>
        <v>0.11401573380622193</v>
      </c>
      <c r="M324" s="7">
        <f>_xlfn.NORM.DIST('DATA SIAP'!J323,$C$5,$C$6, FALSE)</f>
        <v>2.5537513137463275E-2</v>
      </c>
      <c r="N324" s="7">
        <f>_xlfn.NORM.DIST('DATA SIAP'!K323,$D$5,$D$6, FALSE)</f>
        <v>0.28924177494405268</v>
      </c>
      <c r="O324" s="7">
        <f>_xlfn.NORM.DIST('DATA SIAP'!L323,$E$5,$E$6, FALSE)</f>
        <v>1.3108720218987176E-2</v>
      </c>
      <c r="T324" s="7">
        <f t="shared" si="16"/>
        <v>4.9629439499921589E-6</v>
      </c>
      <c r="U324" s="7">
        <f t="shared" si="17"/>
        <v>5.0534702616691048E-6</v>
      </c>
      <c r="W324" s="7" t="str">
        <f t="shared" ref="W324:W387" si="18">IF(T325&gt;U325, "ANEMIA", "SEHAT")</f>
        <v>ANEMIA</v>
      </c>
    </row>
    <row r="325" spans="7:23" x14ac:dyDescent="0.25">
      <c r="G325" s="7">
        <f>_xlfn.NORM.DIST('DATA SIAP'!I324,$B$2,$B$3, FALSE)</f>
        <v>0.2354474783467411</v>
      </c>
      <c r="H325" s="7">
        <f>_xlfn.NORM.DIST('DATA SIAP'!J324,$C$2,$C$3, FALSE)</f>
        <v>0.10326346971705917</v>
      </c>
      <c r="I325" s="7">
        <f>_xlfn.NORM.DIST('DATA SIAP'!K324,$D$2,$D$3, FALSE)</f>
        <v>0.11136771953090253</v>
      </c>
      <c r="J325" s="7">
        <f>_xlfn.NORM.DIST('DATA SIAP'!L324,$E$2,$E$3, FALSE)</f>
        <v>1.6826451502239177E-2</v>
      </c>
      <c r="L325" s="7">
        <f>_xlfn.NORM.DIST('DATA SIAP'!I324,$B$5,$B$6, FALSE)</f>
        <v>4.2212674869411319E-2</v>
      </c>
      <c r="M325" s="7">
        <f>_xlfn.NORM.DIST('DATA SIAP'!J324,$C$5,$C$6, FALSE)</f>
        <v>9.6324707805242341E-2</v>
      </c>
      <c r="N325" s="7">
        <f>_xlfn.NORM.DIST('DATA SIAP'!K324,$D$5,$D$6, FALSE)</f>
        <v>8.270172681067138E-2</v>
      </c>
      <c r="O325" s="7">
        <f>_xlfn.NORM.DIST('DATA SIAP'!L324,$E$5,$E$6, FALSE)</f>
        <v>1.6304649065952376E-2</v>
      </c>
      <c r="T325" s="7">
        <f t="shared" si="16"/>
        <v>2.4705577075751942E-5</v>
      </c>
      <c r="U325" s="7">
        <f t="shared" si="17"/>
        <v>2.5097566791306266E-6</v>
      </c>
      <c r="W325" s="7" t="str">
        <f t="shared" si="18"/>
        <v>SEHAT</v>
      </c>
    </row>
    <row r="326" spans="7:23" x14ac:dyDescent="0.25">
      <c r="G326" s="7">
        <f>_xlfn.NORM.DIST('DATA SIAP'!I325,$B$2,$B$3, FALSE)</f>
        <v>1.748545125674552E-2</v>
      </c>
      <c r="H326" s="7">
        <f>_xlfn.NORM.DIST('DATA SIAP'!J325,$C$2,$C$3, FALSE)</f>
        <v>2.0756397073274192E-2</v>
      </c>
      <c r="I326" s="7">
        <f>_xlfn.NORM.DIST('DATA SIAP'!K325,$D$2,$D$3, FALSE)</f>
        <v>0.13883118035487624</v>
      </c>
      <c r="J326" s="7">
        <f>_xlfn.NORM.DIST('DATA SIAP'!L325,$E$2,$E$3, FALSE)</f>
        <v>1.0616425118192174E-2</v>
      </c>
      <c r="L326" s="7">
        <f>_xlfn.NORM.DIST('DATA SIAP'!I325,$B$5,$B$6, FALSE)</f>
        <v>0.31813827532295402</v>
      </c>
      <c r="M326" s="7">
        <f>_xlfn.NORM.DIST('DATA SIAP'!J325,$C$5,$C$6, FALSE)</f>
        <v>2.4070071205384173E-2</v>
      </c>
      <c r="N326" s="7">
        <f>_xlfn.NORM.DIST('DATA SIAP'!K325,$D$5,$D$6, FALSE)</f>
        <v>0.16777601234596373</v>
      </c>
      <c r="O326" s="7">
        <f>_xlfn.NORM.DIST('DATA SIAP'!L325,$E$5,$E$6, FALSE)</f>
        <v>1.0680237517571738E-2</v>
      </c>
      <c r="T326" s="7">
        <f t="shared" si="16"/>
        <v>2.9006579076835166E-7</v>
      </c>
      <c r="U326" s="7">
        <f t="shared" si="17"/>
        <v>6.2810042709215288E-6</v>
      </c>
      <c r="W326" s="7" t="str">
        <f t="shared" si="18"/>
        <v>SEHAT</v>
      </c>
    </row>
    <row r="327" spans="7:23" x14ac:dyDescent="0.25">
      <c r="G327" s="7">
        <f>_xlfn.NORM.DIST('DATA SIAP'!I326,$B$2,$B$3, FALSE)</f>
        <v>2.9407058498165824E-2</v>
      </c>
      <c r="H327" s="7">
        <f>_xlfn.NORM.DIST('DATA SIAP'!J326,$C$2,$C$3, FALSE)</f>
        <v>2.8309912561668246E-2</v>
      </c>
      <c r="I327" s="7">
        <f>_xlfn.NORM.DIST('DATA SIAP'!K326,$D$2,$D$3, FALSE)</f>
        <v>0.18263025300630079</v>
      </c>
      <c r="J327" s="7">
        <f>_xlfn.NORM.DIST('DATA SIAP'!L326,$E$2,$E$3, FALSE)</f>
        <v>4.0738840034066172E-2</v>
      </c>
      <c r="L327" s="7">
        <f>_xlfn.NORM.DIST('DATA SIAP'!I326,$B$5,$B$6, FALSE)</f>
        <v>0.29224323073070041</v>
      </c>
      <c r="M327" s="7">
        <f>_xlfn.NORM.DIST('DATA SIAP'!J326,$C$5,$C$6, FALSE)</f>
        <v>3.1502393486152178E-2</v>
      </c>
      <c r="N327" s="7">
        <f>_xlfn.NORM.DIST('DATA SIAP'!K326,$D$5,$D$6, FALSE)</f>
        <v>0.15154872267578176</v>
      </c>
      <c r="O327" s="7">
        <f>_xlfn.NORM.DIST('DATA SIAP'!L326,$E$5,$E$6, FALSE)</f>
        <v>3.9168332612045956E-2</v>
      </c>
      <c r="T327" s="7">
        <f t="shared" si="16"/>
        <v>3.3587205704066487E-6</v>
      </c>
      <c r="U327" s="7">
        <f t="shared" si="17"/>
        <v>2.5014993179967221E-5</v>
      </c>
      <c r="W327" s="7" t="str">
        <f t="shared" si="18"/>
        <v>SEHAT</v>
      </c>
    </row>
    <row r="328" spans="7:23" x14ac:dyDescent="0.25">
      <c r="G328" s="7">
        <f>_xlfn.NORM.DIST('DATA SIAP'!I327,$B$2,$B$3, FALSE)</f>
        <v>6.2282131541449362E-2</v>
      </c>
      <c r="H328" s="7">
        <f>_xlfn.NORM.DIST('DATA SIAP'!J327,$C$2,$C$3, FALSE)</f>
        <v>9.8849018475037978E-2</v>
      </c>
      <c r="I328" s="7">
        <f>_xlfn.NORM.DIST('DATA SIAP'!K327,$D$2,$D$3, FALSE)</f>
        <v>0.2720499982540398</v>
      </c>
      <c r="J328" s="7">
        <f>_xlfn.NORM.DIST('DATA SIAP'!L327,$E$2,$E$3, FALSE)</f>
        <v>4.1172760833596903E-2</v>
      </c>
      <c r="L328" s="7">
        <f>_xlfn.NORM.DIST('DATA SIAP'!I327,$B$5,$B$6, FALSE)</f>
        <v>0.22193547602789976</v>
      </c>
      <c r="M328" s="7">
        <f>_xlfn.NORM.DIST('DATA SIAP'!J327,$C$5,$C$6, FALSE)</f>
        <v>9.2645434931106399E-2</v>
      </c>
      <c r="N328" s="7">
        <f>_xlfn.NORM.DIST('DATA SIAP'!K327,$D$5,$D$6, FALSE)</f>
        <v>0.26075489413603392</v>
      </c>
      <c r="O328" s="7">
        <f>_xlfn.NORM.DIST('DATA SIAP'!L327,$E$5,$E$6, FALSE)</f>
        <v>3.8125419473523096E-2</v>
      </c>
      <c r="T328" s="7">
        <f t="shared" si="16"/>
        <v>3.7393569731833589E-5</v>
      </c>
      <c r="U328" s="7">
        <f t="shared" si="17"/>
        <v>9.3567034446970552E-5</v>
      </c>
      <c r="W328" s="7" t="str">
        <f t="shared" si="18"/>
        <v>SEHAT</v>
      </c>
    </row>
    <row r="329" spans="7:23" x14ac:dyDescent="0.25">
      <c r="G329" s="7">
        <f>_xlfn.NORM.DIST('DATA SIAP'!I328,$B$2,$B$3, FALSE)</f>
        <v>7.1119540327410455E-2</v>
      </c>
      <c r="H329" s="7">
        <f>_xlfn.NORM.DIST('DATA SIAP'!J328,$C$2,$C$3, FALSE)</f>
        <v>0.10353838885728946</v>
      </c>
      <c r="I329" s="7">
        <f>_xlfn.NORM.DIST('DATA SIAP'!K328,$D$2,$D$3, FALSE)</f>
        <v>0.12248570720321851</v>
      </c>
      <c r="J329" s="7">
        <f>_xlfn.NORM.DIST('DATA SIAP'!L328,$E$2,$E$3, FALSE)</f>
        <v>3.2124077137375397E-2</v>
      </c>
      <c r="L329" s="7">
        <f>_xlfn.NORM.DIST('DATA SIAP'!I328,$B$5,$B$6, FALSE)</f>
        <v>0.2058796345211516</v>
      </c>
      <c r="M329" s="7">
        <f>_xlfn.NORM.DIST('DATA SIAP'!J328,$C$5,$C$6, FALSE)</f>
        <v>9.6627756650739388E-2</v>
      </c>
      <c r="N329" s="7">
        <f>_xlfn.NORM.DIST('DATA SIAP'!K328,$D$5,$D$6, FALSE)</f>
        <v>9.2733895700821981E-2</v>
      </c>
      <c r="O329" s="7">
        <f>_xlfn.NORM.DIST('DATA SIAP'!L328,$E$5,$E$6, FALSE)</f>
        <v>2.9836441390222044E-2</v>
      </c>
      <c r="T329" s="7">
        <f t="shared" si="16"/>
        <v>1.5711179794363533E-5</v>
      </c>
      <c r="U329" s="7">
        <f t="shared" si="17"/>
        <v>2.5195665022478439E-5</v>
      </c>
      <c r="W329" s="7" t="str">
        <f t="shared" si="18"/>
        <v>SEHAT</v>
      </c>
    </row>
    <row r="330" spans="7:23" x14ac:dyDescent="0.25">
      <c r="G330" s="7">
        <f>_xlfn.NORM.DIST('DATA SIAP'!I329,$B$2,$B$3, FALSE)</f>
        <v>9.8680512350186426E-3</v>
      </c>
      <c r="H330" s="7">
        <f>_xlfn.NORM.DIST('DATA SIAP'!J329,$C$2,$C$3, FALSE)</f>
        <v>2.9513231882103121E-2</v>
      </c>
      <c r="I330" s="7">
        <f>_xlfn.NORM.DIST('DATA SIAP'!K329,$D$2,$D$3, FALSE)</f>
        <v>0.1050040661958891</v>
      </c>
      <c r="J330" s="7">
        <f>_xlfn.NORM.DIST('DATA SIAP'!L329,$E$2,$E$3, FALSE)</f>
        <v>2.2383620108791514E-2</v>
      </c>
      <c r="L330" s="7">
        <f>_xlfn.NORM.DIST('DATA SIAP'!I329,$B$5,$B$6, FALSE)</f>
        <v>0.3261054086214823</v>
      </c>
      <c r="M330" s="7">
        <f>_xlfn.NORM.DIST('DATA SIAP'!J329,$C$5,$C$6, FALSE)</f>
        <v>3.2659917273619755E-2</v>
      </c>
      <c r="N330" s="7">
        <f>_xlfn.NORM.DIST('DATA SIAP'!K329,$D$5,$D$6, FALSE)</f>
        <v>0.12960993474335217</v>
      </c>
      <c r="O330" s="7">
        <f>_xlfn.NORM.DIST('DATA SIAP'!L329,$E$5,$E$6, FALSE)</f>
        <v>2.1239047260387549E-2</v>
      </c>
      <c r="T330" s="7">
        <f t="shared" si="16"/>
        <v>3.7118207055168983E-7</v>
      </c>
      <c r="U330" s="7">
        <f t="shared" si="17"/>
        <v>1.3420584094138762E-5</v>
      </c>
      <c r="W330" s="7" t="str">
        <f t="shared" si="18"/>
        <v>ANEMIA</v>
      </c>
    </row>
    <row r="331" spans="7:23" x14ac:dyDescent="0.25">
      <c r="G331" s="7">
        <f>_xlfn.NORM.DIST('DATA SIAP'!I330,$B$2,$B$3, FALSE)</f>
        <v>0.30348677398303142</v>
      </c>
      <c r="H331" s="7">
        <f>_xlfn.NORM.DIST('DATA SIAP'!J330,$C$2,$C$3, FALSE)</f>
        <v>9.6280187164627704E-2</v>
      </c>
      <c r="I331" s="7">
        <f>_xlfn.NORM.DIST('DATA SIAP'!K330,$D$2,$D$3, FALSE)</f>
        <v>0.28452688244841479</v>
      </c>
      <c r="J331" s="7">
        <f>_xlfn.NORM.DIST('DATA SIAP'!L330,$E$2,$E$3, FALSE)</f>
        <v>2.7157670449357608E-2</v>
      </c>
      <c r="L331" s="7">
        <f>_xlfn.NORM.DIST('DATA SIAP'!I330,$B$5,$B$6, FALSE)</f>
        <v>5.7836964810562405E-3</v>
      </c>
      <c r="M331" s="7">
        <f>_xlfn.NORM.DIST('DATA SIAP'!J330,$C$5,$C$6, FALSE)</f>
        <v>9.0837838415519276E-2</v>
      </c>
      <c r="N331" s="7">
        <f>_xlfn.NORM.DIST('DATA SIAP'!K330,$D$5,$D$6, FALSE)</f>
        <v>0.28825868193721221</v>
      </c>
      <c r="O331" s="7">
        <f>_xlfn.NORM.DIST('DATA SIAP'!L330,$E$5,$E$6, FALSE)</f>
        <v>2.5448623812067788E-2</v>
      </c>
      <c r="T331" s="7">
        <f t="shared" si="16"/>
        <v>1.2243198622319002E-4</v>
      </c>
      <c r="U331" s="7">
        <f t="shared" si="17"/>
        <v>1.7641844738959848E-6</v>
      </c>
      <c r="W331" s="7" t="str">
        <f t="shared" si="18"/>
        <v>ANEMIA</v>
      </c>
    </row>
    <row r="332" spans="7:23" x14ac:dyDescent="0.25">
      <c r="G332" s="7">
        <f>_xlfn.NORM.DIST('DATA SIAP'!I331,$B$2,$B$3, FALSE)</f>
        <v>0.30348677398303142</v>
      </c>
      <c r="H332" s="7">
        <f>_xlfn.NORM.DIST('DATA SIAP'!J331,$C$2,$C$3, FALSE)</f>
        <v>0.10294488609851993</v>
      </c>
      <c r="I332" s="7">
        <f>_xlfn.NORM.DIST('DATA SIAP'!K331,$D$2,$D$3, FALSE)</f>
        <v>0.28106392084554088</v>
      </c>
      <c r="J332" s="7">
        <f>_xlfn.NORM.DIST('DATA SIAP'!L331,$E$2,$E$3, FALSE)</f>
        <v>3.6796195221948311E-2</v>
      </c>
      <c r="L332" s="7">
        <f>_xlfn.NORM.DIST('DATA SIAP'!I331,$B$5,$B$6, FALSE)</f>
        <v>5.7836964810562405E-3</v>
      </c>
      <c r="M332" s="7">
        <f>_xlfn.NORM.DIST('DATA SIAP'!J331,$C$5,$C$6, FALSE)</f>
        <v>9.6054822864921827E-2</v>
      </c>
      <c r="N332" s="7">
        <f>_xlfn.NORM.DIST('DATA SIAP'!K331,$D$5,$D$6, FALSE)</f>
        <v>0.27714999836250115</v>
      </c>
      <c r="O332" s="7">
        <f>_xlfn.NORM.DIST('DATA SIAP'!L331,$E$5,$E$6, FALSE)</f>
        <v>3.6274184372310163E-2</v>
      </c>
      <c r="T332" s="7">
        <f t="shared" si="16"/>
        <v>1.7520840744164609E-4</v>
      </c>
      <c r="U332" s="7">
        <f t="shared" si="17"/>
        <v>2.5565966644846265E-6</v>
      </c>
      <c r="W332" s="7" t="str">
        <f t="shared" si="18"/>
        <v>SEHAT</v>
      </c>
    </row>
    <row r="333" spans="7:23" x14ac:dyDescent="0.25">
      <c r="G333" s="7">
        <f>_xlfn.NORM.DIST('DATA SIAP'!I332,$B$2,$B$3, FALSE)</f>
        <v>3.4567812457190553E-2</v>
      </c>
      <c r="H333" s="7">
        <f>_xlfn.NORM.DIST('DATA SIAP'!J332,$C$2,$C$3, FALSE)</f>
        <v>2.8309912561668246E-2</v>
      </c>
      <c r="I333" s="7">
        <f>_xlfn.NORM.DIST('DATA SIAP'!K332,$D$2,$D$3, FALSE)</f>
        <v>0.24936908005607247</v>
      </c>
      <c r="J333" s="7">
        <f>_xlfn.NORM.DIST('DATA SIAP'!L332,$E$2,$E$3, FALSE)</f>
        <v>4.3030504816720473E-2</v>
      </c>
      <c r="L333" s="7">
        <f>_xlfn.NORM.DIST('DATA SIAP'!I332,$B$5,$B$6, FALSE)</f>
        <v>0.28031571355468393</v>
      </c>
      <c r="M333" s="7">
        <f>_xlfn.NORM.DIST('DATA SIAP'!J332,$C$5,$C$6, FALSE)</f>
        <v>3.1502393486152178E-2</v>
      </c>
      <c r="N333" s="7">
        <f>_xlfn.NORM.DIST('DATA SIAP'!K332,$D$5,$D$6, FALSE)</f>
        <v>0.22848406731540458</v>
      </c>
      <c r="O333" s="7">
        <f>_xlfn.NORM.DIST('DATA SIAP'!L332,$E$5,$E$6, FALSE)</f>
        <v>4.0450750095908428E-2</v>
      </c>
      <c r="T333" s="7">
        <f t="shared" si="16"/>
        <v>5.6941886339177799E-6</v>
      </c>
      <c r="U333" s="7">
        <f t="shared" si="17"/>
        <v>3.7359280890673357E-5</v>
      </c>
      <c r="W333" s="7" t="str">
        <f t="shared" si="18"/>
        <v>SEHAT</v>
      </c>
    </row>
    <row r="334" spans="7:23" x14ac:dyDescent="0.25">
      <c r="G334" s="7">
        <f>_xlfn.NORM.DIST('DATA SIAP'!I333,$B$2,$B$3, FALSE)</f>
        <v>5.2858549075253704E-3</v>
      </c>
      <c r="H334" s="7">
        <f>_xlfn.NORM.DIST('DATA SIAP'!J333,$C$2,$C$3, FALSE)</f>
        <v>8.9508741460164298E-2</v>
      </c>
      <c r="I334" s="7">
        <f>_xlfn.NORM.DIST('DATA SIAP'!K333,$D$2,$D$3, FALSE)</f>
        <v>0.15083248924656931</v>
      </c>
      <c r="J334" s="7">
        <f>_xlfn.NORM.DIST('DATA SIAP'!L333,$E$2,$E$3, FALSE)</f>
        <v>3.4176573461506259E-2</v>
      </c>
      <c r="L334" s="7">
        <f>_xlfn.NORM.DIST('DATA SIAP'!I333,$B$5,$B$6, FALSE)</f>
        <v>0.31475359474046671</v>
      </c>
      <c r="M334" s="7">
        <f>_xlfn.NORM.DIST('DATA SIAP'!J333,$C$5,$C$6, FALSE)</f>
        <v>8.5315924991852532E-2</v>
      </c>
      <c r="N334" s="7">
        <f>_xlfn.NORM.DIST('DATA SIAP'!K333,$D$5,$D$6, FALSE)</f>
        <v>0.18087822136530166</v>
      </c>
      <c r="O334" s="7">
        <f>_xlfn.NORM.DIST('DATA SIAP'!L333,$E$5,$E$6, FALSE)</f>
        <v>3.4219695534119486E-2</v>
      </c>
      <c r="T334" s="7">
        <f t="shared" si="16"/>
        <v>1.322532904883795E-6</v>
      </c>
      <c r="U334" s="7">
        <f t="shared" si="17"/>
        <v>7.608310615847796E-5</v>
      </c>
      <c r="W334" s="7" t="str">
        <f t="shared" si="18"/>
        <v>ANEMIA</v>
      </c>
    </row>
    <row r="335" spans="7:23" x14ac:dyDescent="0.25">
      <c r="G335" s="7">
        <f>_xlfn.NORM.DIST('DATA SIAP'!I334,$B$2,$B$3, FALSE)</f>
        <v>0.2322678986365366</v>
      </c>
      <c r="H335" s="7">
        <f>_xlfn.NORM.DIST('DATA SIAP'!J334,$C$2,$C$3, FALSE)</f>
        <v>9.8946481219223462E-2</v>
      </c>
      <c r="I335" s="7">
        <f>_xlfn.NORM.DIST('DATA SIAP'!K334,$D$2,$D$3, FALSE)</f>
        <v>0.13883118035487624</v>
      </c>
      <c r="J335" s="7">
        <f>_xlfn.NORM.DIST('DATA SIAP'!L334,$E$2,$E$3, FALSE)</f>
        <v>1.6826451502239177E-2</v>
      </c>
      <c r="L335" s="7">
        <f>_xlfn.NORM.DIST('DATA SIAP'!I334,$B$5,$B$6, FALSE)</f>
        <v>5.4583668235364761E-4</v>
      </c>
      <c r="M335" s="7">
        <f>_xlfn.NORM.DIST('DATA SIAP'!J334,$C$5,$C$6, FALSE)</f>
        <v>9.298873747079453E-2</v>
      </c>
      <c r="N335" s="7">
        <f>_xlfn.NORM.DIST('DATA SIAP'!K334,$D$5,$D$6, FALSE)</f>
        <v>0.16777601234596373</v>
      </c>
      <c r="O335" s="7">
        <f>_xlfn.NORM.DIST('DATA SIAP'!L334,$E$5,$E$6, FALSE)</f>
        <v>1.6304649065952376E-2</v>
      </c>
      <c r="T335" s="7">
        <f t="shared" si="16"/>
        <v>2.9111962291624981E-5</v>
      </c>
      <c r="U335" s="7">
        <f t="shared" si="17"/>
        <v>6.3556416991213113E-8</v>
      </c>
      <c r="W335" s="7" t="str">
        <f t="shared" si="18"/>
        <v>ANEMIA</v>
      </c>
    </row>
    <row r="336" spans="7:23" x14ac:dyDescent="0.25">
      <c r="G336" s="7">
        <f>_xlfn.NORM.DIST('DATA SIAP'!I335,$B$2,$B$3, FALSE)</f>
        <v>0.25947464687628563</v>
      </c>
      <c r="H336" s="7">
        <f>_xlfn.NORM.DIST('DATA SIAP'!J335,$C$2,$C$3, FALSE)</f>
        <v>6.8473529177472514E-2</v>
      </c>
      <c r="I336" s="7">
        <f>_xlfn.NORM.DIST('DATA SIAP'!K335,$D$2,$D$3, FALSE)</f>
        <v>0.1050040661958891</v>
      </c>
      <c r="J336" s="7">
        <f>_xlfn.NORM.DIST('DATA SIAP'!L335,$E$2,$E$3, FALSE)</f>
        <v>2.8540947525619059E-2</v>
      </c>
      <c r="L336" s="7">
        <f>_xlfn.NORM.DIST('DATA SIAP'!I335,$B$5,$B$6, FALSE)</f>
        <v>2.9924128759101425E-2</v>
      </c>
      <c r="M336" s="7">
        <f>_xlfn.NORM.DIST('DATA SIAP'!J335,$C$5,$C$6, FALSE)</f>
        <v>6.7137525063334508E-2</v>
      </c>
      <c r="N336" s="7">
        <f>_xlfn.NORM.DIST('DATA SIAP'!K335,$D$5,$D$6, FALSE)</f>
        <v>0.12960993474335217</v>
      </c>
      <c r="O336" s="7">
        <f>_xlfn.NORM.DIST('DATA SIAP'!L335,$E$5,$E$6, FALSE)</f>
        <v>2.9575454081846305E-2</v>
      </c>
      <c r="T336" s="7">
        <f t="shared" si="16"/>
        <v>2.8873173918859433E-5</v>
      </c>
      <c r="U336" s="7">
        <f t="shared" si="17"/>
        <v>3.5251821934518678E-6</v>
      </c>
      <c r="W336" s="7" t="str">
        <f t="shared" si="18"/>
        <v>ANEMIA</v>
      </c>
    </row>
    <row r="337" spans="7:23" x14ac:dyDescent="0.25">
      <c r="G337" s="7">
        <f>_xlfn.NORM.DIST('DATA SIAP'!I336,$B$2,$B$3, FALSE)</f>
        <v>0.13958651423065163</v>
      </c>
      <c r="H337" s="7">
        <f>_xlfn.NORM.DIST('DATA SIAP'!J336,$C$2,$C$3, FALSE)</f>
        <v>5.239035074725458E-2</v>
      </c>
      <c r="I337" s="7">
        <f>_xlfn.NORM.DIST('DATA SIAP'!K336,$D$2,$D$3, FALSE)</f>
        <v>0.26838104088565923</v>
      </c>
      <c r="J337" s="7">
        <f>_xlfn.NORM.DIST('DATA SIAP'!L336,$E$2,$E$3, FALSE)</f>
        <v>1.1202340112648326E-2</v>
      </c>
      <c r="L337" s="7">
        <f>_xlfn.NORM.DIST('DATA SIAP'!I336,$B$5,$B$6, FALSE)</f>
        <v>0.11401573380622193</v>
      </c>
      <c r="M337" s="7">
        <f>_xlfn.NORM.DIST('DATA SIAP'!J336,$C$5,$C$6, FALSE)</f>
        <v>5.3697713120298272E-2</v>
      </c>
      <c r="N337" s="7">
        <f>_xlfn.NORM.DIST('DATA SIAP'!K336,$D$5,$D$6, FALSE)</f>
        <v>0.28924177494405268</v>
      </c>
      <c r="O337" s="7">
        <f>_xlfn.NORM.DIST('DATA SIAP'!L336,$E$5,$E$6, FALSE)</f>
        <v>1.1218656239003493E-2</v>
      </c>
      <c r="T337" s="7">
        <f t="shared" si="16"/>
        <v>1.1922236591085125E-5</v>
      </c>
      <c r="U337" s="7">
        <f t="shared" si="17"/>
        <v>9.0938429118784786E-6</v>
      </c>
      <c r="W337" s="7" t="str">
        <f t="shared" si="18"/>
        <v>ANEMIA</v>
      </c>
    </row>
    <row r="338" spans="7:23" x14ac:dyDescent="0.25">
      <c r="G338" s="7">
        <f>_xlfn.NORM.DIST('DATA SIAP'!I337,$B$2,$B$3, FALSE)</f>
        <v>0.14969315057709329</v>
      </c>
      <c r="H338" s="7">
        <f>_xlfn.NORM.DIST('DATA SIAP'!J337,$C$2,$C$3, FALSE)</f>
        <v>2.2757976305560857E-2</v>
      </c>
      <c r="I338" s="7">
        <f>_xlfn.NORM.DIST('DATA SIAP'!K337,$D$2,$D$3, FALSE)</f>
        <v>0.26838104088565923</v>
      </c>
      <c r="J338" s="7">
        <f>_xlfn.NORM.DIST('DATA SIAP'!L337,$E$2,$E$3, FALSE)</f>
        <v>2.2639147279342735E-2</v>
      </c>
      <c r="L338" s="7">
        <f>_xlfn.NORM.DIST('DATA SIAP'!I337,$B$5,$B$6, FALSE)</f>
        <v>8.3750476964686594E-5</v>
      </c>
      <c r="M338" s="7">
        <f>_xlfn.NORM.DIST('DATA SIAP'!J337,$C$5,$C$6, FALSE)</f>
        <v>2.6070373954777064E-2</v>
      </c>
      <c r="N338" s="7">
        <f>_xlfn.NORM.DIST('DATA SIAP'!K337,$D$5,$D$6, FALSE)</f>
        <v>0.28924177494405268</v>
      </c>
      <c r="O338" s="7">
        <f>_xlfn.NORM.DIST('DATA SIAP'!L337,$E$5,$E$6, FALSE)</f>
        <v>2.4428365875256604E-2</v>
      </c>
      <c r="T338" s="7">
        <f t="shared" si="16"/>
        <v>1.1224056610393788E-5</v>
      </c>
      <c r="U338" s="7">
        <f t="shared" si="17"/>
        <v>7.0617932102140196E-9</v>
      </c>
      <c r="W338" s="7" t="str">
        <f t="shared" si="18"/>
        <v>SEHAT</v>
      </c>
    </row>
    <row r="339" spans="7:23" x14ac:dyDescent="0.25">
      <c r="G339" s="7">
        <f>_xlfn.NORM.DIST('DATA SIAP'!I338,$B$2,$B$3, FALSE)</f>
        <v>1.0054188033119906E-3</v>
      </c>
      <c r="H339" s="7">
        <f>_xlfn.NORM.DIST('DATA SIAP'!J338,$C$2,$C$3, FALSE)</f>
        <v>2.9513231882103121E-2</v>
      </c>
      <c r="I339" s="7">
        <f>_xlfn.NORM.DIST('DATA SIAP'!K338,$D$2,$D$3, FALSE)</f>
        <v>0.28351038637612513</v>
      </c>
      <c r="J339" s="7">
        <f>_xlfn.NORM.DIST('DATA SIAP'!L338,$E$2,$E$3, FALSE)</f>
        <v>3.3689509751029002E-2</v>
      </c>
      <c r="L339" s="7">
        <f>_xlfn.NORM.DIST('DATA SIAP'!I338,$B$5,$B$6, FALSE)</f>
        <v>0.22932569914643791</v>
      </c>
      <c r="M339" s="7">
        <f>_xlfn.NORM.DIST('DATA SIAP'!J338,$C$5,$C$6, FALSE)</f>
        <v>3.2659917273619755E-2</v>
      </c>
      <c r="N339" s="7">
        <f>_xlfn.NORM.DIST('DATA SIAP'!K338,$D$5,$D$6, FALSE)</f>
        <v>0.2834167413939313</v>
      </c>
      <c r="O339" s="7">
        <f>_xlfn.NORM.DIST('DATA SIAP'!L338,$E$5,$E$6, FALSE)</f>
        <v>3.1229104443319177E-2</v>
      </c>
      <c r="T339" s="7">
        <f t="shared" si="16"/>
        <v>1.5368441170608894E-7</v>
      </c>
      <c r="U339" s="7">
        <f t="shared" si="17"/>
        <v>3.034435072505404E-5</v>
      </c>
      <c r="W339" s="7" t="str">
        <f t="shared" si="18"/>
        <v>ANEMIA</v>
      </c>
    </row>
    <row r="340" spans="7:23" x14ac:dyDescent="0.25">
      <c r="G340" s="7">
        <f>_xlfn.NORM.DIST('DATA SIAP'!I339,$B$2,$B$3, FALSE)</f>
        <v>0.16341699682690056</v>
      </c>
      <c r="H340" s="7">
        <f>_xlfn.NORM.DIST('DATA SIAP'!J339,$C$2,$C$3, FALSE)</f>
        <v>9.196013276948814E-2</v>
      </c>
      <c r="I340" s="7">
        <f>_xlfn.NORM.DIST('DATA SIAP'!K339,$D$2,$D$3, FALSE)</f>
        <v>0.26838104088565923</v>
      </c>
      <c r="J340" s="7">
        <f>_xlfn.NORM.DIST('DATA SIAP'!L339,$E$2,$E$3, FALSE)</f>
        <v>4.2192494545903611E-2</v>
      </c>
      <c r="L340" s="7">
        <f>_xlfn.NORM.DIST('DATA SIAP'!I339,$B$5,$B$6, FALSE)</f>
        <v>1.1639241761785992E-4</v>
      </c>
      <c r="M340" s="7">
        <f>_xlfn.NORM.DIST('DATA SIAP'!J339,$C$5,$C$6, FALSE)</f>
        <v>8.7323802584105797E-2</v>
      </c>
      <c r="N340" s="7">
        <f>_xlfn.NORM.DIST('DATA SIAP'!K339,$D$5,$D$6, FALSE)</f>
        <v>0.28924177494405268</v>
      </c>
      <c r="O340" s="7">
        <f>_xlfn.NORM.DIST('DATA SIAP'!L339,$E$5,$E$6, FALSE)</f>
        <v>4.0099929471680097E-2</v>
      </c>
      <c r="T340" s="7">
        <f t="shared" si="16"/>
        <v>9.227546264349851E-5</v>
      </c>
      <c r="U340" s="7">
        <f t="shared" si="17"/>
        <v>5.3961867005900926E-8</v>
      </c>
      <c r="W340" s="7" t="str">
        <f t="shared" si="18"/>
        <v>ANEMIA</v>
      </c>
    </row>
    <row r="341" spans="7:23" x14ac:dyDescent="0.25">
      <c r="G341" s="7">
        <f>_xlfn.NORM.DIST('DATA SIAP'!I340,$B$2,$B$3, FALSE)</f>
        <v>0.30348677398303142</v>
      </c>
      <c r="H341" s="7">
        <f>_xlfn.NORM.DIST('DATA SIAP'!J340,$C$2,$C$3, FALSE)</f>
        <v>4.0183696218232097E-2</v>
      </c>
      <c r="I341" s="7">
        <f>_xlfn.NORM.DIST('DATA SIAP'!K340,$D$2,$D$3, FALSE)</f>
        <v>0.21153935719650352</v>
      </c>
      <c r="J341" s="7">
        <f>_xlfn.NORM.DIST('DATA SIAP'!L340,$E$2,$E$3, FALSE)</f>
        <v>3.7254031043676271E-2</v>
      </c>
      <c r="L341" s="7">
        <f>_xlfn.NORM.DIST('DATA SIAP'!I340,$B$5,$B$6, FALSE)</f>
        <v>5.7836964810562405E-3</v>
      </c>
      <c r="M341" s="7">
        <f>_xlfn.NORM.DIST('DATA SIAP'!J340,$C$5,$C$6, FALSE)</f>
        <v>4.267510045770647E-2</v>
      </c>
      <c r="N341" s="7">
        <f>_xlfn.NORM.DIST('DATA SIAP'!K340,$D$5,$D$6, FALSE)</f>
        <v>0.24286362542611273</v>
      </c>
      <c r="O341" s="7">
        <f>_xlfn.NORM.DIST('DATA SIAP'!L340,$E$5,$E$6, FALSE)</f>
        <v>3.4439579340663794E-2</v>
      </c>
      <c r="T341" s="7">
        <f t="shared" si="16"/>
        <v>5.2114249085865943E-5</v>
      </c>
      <c r="U341" s="7">
        <f t="shared" si="17"/>
        <v>9.4498599063300641E-7</v>
      </c>
      <c r="W341" s="7" t="str">
        <f t="shared" si="18"/>
        <v>ANEMIA</v>
      </c>
    </row>
    <row r="342" spans="7:23" x14ac:dyDescent="0.25">
      <c r="G342" s="7">
        <f>_xlfn.NORM.DIST('DATA SIAP'!I341,$B$2,$B$3, FALSE)</f>
        <v>0.28556630759985968</v>
      </c>
      <c r="H342" s="7">
        <f>_xlfn.NORM.DIST('DATA SIAP'!J341,$C$2,$C$3, FALSE)</f>
        <v>3.5809396610237888E-2</v>
      </c>
      <c r="I342" s="7">
        <f>_xlfn.NORM.DIST('DATA SIAP'!K341,$D$2,$D$3, FALSE)</f>
        <v>9.470219971360351E-2</v>
      </c>
      <c r="J342" s="7">
        <f>_xlfn.NORM.DIST('DATA SIAP'!L341,$E$2,$E$3, FALSE)</f>
        <v>4.0289888752805127E-2</v>
      </c>
      <c r="L342" s="7">
        <f>_xlfn.NORM.DIST('DATA SIAP'!I341,$B$5,$B$6, FALSE)</f>
        <v>2.1658038923362813E-3</v>
      </c>
      <c r="M342" s="7">
        <f>_xlfn.NORM.DIST('DATA SIAP'!J341,$C$5,$C$6, FALSE)</f>
        <v>3.8109906472030129E-2</v>
      </c>
      <c r="N342" s="7">
        <f>_xlfn.NORM.DIST('DATA SIAP'!K341,$D$5,$D$6, FALSE)</f>
        <v>0.1176432423163154</v>
      </c>
      <c r="O342" s="7">
        <f>_xlfn.NORM.DIST('DATA SIAP'!L341,$E$5,$E$6, FALSE)</f>
        <v>3.7266211728178282E-2</v>
      </c>
      <c r="T342" s="7">
        <f t="shared" si="16"/>
        <v>2.1157409169960898E-5</v>
      </c>
      <c r="U342" s="7">
        <f t="shared" si="17"/>
        <v>1.6563963223433633E-7</v>
      </c>
      <c r="W342" s="7" t="str">
        <f t="shared" si="18"/>
        <v>ANEMIA</v>
      </c>
    </row>
    <row r="343" spans="7:23" x14ac:dyDescent="0.25">
      <c r="G343" s="7">
        <f>_xlfn.NORM.DIST('DATA SIAP'!I342,$B$2,$B$3, FALSE)</f>
        <v>0.27939584624189906</v>
      </c>
      <c r="H343" s="7">
        <f>_xlfn.NORM.DIST('DATA SIAP'!J342,$C$2,$C$3, FALSE)</f>
        <v>9.5153178986108602E-2</v>
      </c>
      <c r="I343" s="7">
        <f>_xlfn.NORM.DIST('DATA SIAP'!K342,$D$2,$D$3, FALSE)</f>
        <v>0.28106392084554088</v>
      </c>
      <c r="J343" s="7">
        <f>_xlfn.NORM.DIST('DATA SIAP'!L342,$E$2,$E$3, FALSE)</f>
        <v>1.0425577733938563E-2</v>
      </c>
      <c r="L343" s="7">
        <f>_xlfn.NORM.DIST('DATA SIAP'!I342,$B$5,$B$6, FALSE)</f>
        <v>2.0653187980494803E-2</v>
      </c>
      <c r="M343" s="7">
        <f>_xlfn.NORM.DIST('DATA SIAP'!J342,$C$5,$C$6, FALSE)</f>
        <v>8.9582947768660035E-2</v>
      </c>
      <c r="N343" s="7">
        <f>_xlfn.NORM.DIST('DATA SIAP'!K342,$D$5,$D$6, FALSE)</f>
        <v>0.27714999836250115</v>
      </c>
      <c r="O343" s="7">
        <f>_xlfn.NORM.DIST('DATA SIAP'!L342,$E$5,$E$6, FALSE)</f>
        <v>1.0504409097190231E-2</v>
      </c>
      <c r="T343" s="7">
        <f t="shared" si="16"/>
        <v>4.2242621258936398E-5</v>
      </c>
      <c r="U343" s="7">
        <f t="shared" si="17"/>
        <v>2.4656076375688714E-6</v>
      </c>
      <c r="W343" s="7" t="str">
        <f t="shared" si="18"/>
        <v>SEHAT</v>
      </c>
    </row>
    <row r="344" spans="7:23" x14ac:dyDescent="0.25">
      <c r="G344" s="7">
        <f>_xlfn.NORM.DIST('DATA SIAP'!I343,$B$2,$B$3, FALSE)</f>
        <v>5.4227430483013976E-2</v>
      </c>
      <c r="H344" s="7">
        <f>_xlfn.NORM.DIST('DATA SIAP'!J343,$C$2,$C$3, FALSE)</f>
        <v>2.2633098519131582E-2</v>
      </c>
      <c r="I344" s="7">
        <f>_xlfn.NORM.DIST('DATA SIAP'!K343,$D$2,$D$3, FALSE)</f>
        <v>0.13883118035487624</v>
      </c>
      <c r="J344" s="7">
        <f>_xlfn.NORM.DIST('DATA SIAP'!L343,$E$2,$E$3, FALSE)</f>
        <v>1.6826451502239177E-2</v>
      </c>
      <c r="L344" s="7">
        <f>_xlfn.NORM.DIST('DATA SIAP'!I343,$B$5,$B$6, FALSE)</f>
        <v>0.23764944520286474</v>
      </c>
      <c r="M344" s="7">
        <f>_xlfn.NORM.DIST('DATA SIAP'!J343,$C$5,$C$6, FALSE)</f>
        <v>2.5537513137463275E-2</v>
      </c>
      <c r="N344" s="7">
        <f>_xlfn.NORM.DIST('DATA SIAP'!K343,$D$5,$D$6, FALSE)</f>
        <v>0.16777601234596373</v>
      </c>
      <c r="O344" s="7">
        <f>_xlfn.NORM.DIST('DATA SIAP'!L343,$E$5,$E$6, FALSE)</f>
        <v>1.6304649065952376E-2</v>
      </c>
      <c r="T344" s="7">
        <f t="shared" si="16"/>
        <v>1.5546941883691482E-6</v>
      </c>
      <c r="U344" s="7">
        <f t="shared" si="17"/>
        <v>7.5994426824541232E-6</v>
      </c>
      <c r="W344" s="7" t="str">
        <f t="shared" si="18"/>
        <v>SEHAT</v>
      </c>
    </row>
    <row r="345" spans="7:23" x14ac:dyDescent="0.25">
      <c r="G345" s="7">
        <f>_xlfn.NORM.DIST('DATA SIAP'!I344,$B$2,$B$3, FALSE)</f>
        <v>7.7500453168946029E-4</v>
      </c>
      <c r="H345" s="7">
        <f>_xlfn.NORM.DIST('DATA SIAP'!J344,$C$2,$C$3, FALSE)</f>
        <v>0.10326346971705917</v>
      </c>
      <c r="I345" s="7">
        <f>_xlfn.NORM.DIST('DATA SIAP'!K344,$D$2,$D$3, FALSE)</f>
        <v>0.1050040661958891</v>
      </c>
      <c r="J345" s="7">
        <f>_xlfn.NORM.DIST('DATA SIAP'!L344,$E$2,$E$3, FALSE)</f>
        <v>2.1810373616011066E-2</v>
      </c>
      <c r="L345" s="7">
        <f>_xlfn.NORM.DIST('DATA SIAP'!I344,$B$5,$B$6, FALSE)</f>
        <v>0.21339991527020385</v>
      </c>
      <c r="M345" s="7">
        <f>_xlfn.NORM.DIST('DATA SIAP'!J344,$C$5,$C$6, FALSE)</f>
        <v>9.6324707805242341E-2</v>
      </c>
      <c r="N345" s="7">
        <f>_xlfn.NORM.DIST('DATA SIAP'!K344,$D$5,$D$6, FALSE)</f>
        <v>0.12960993474335217</v>
      </c>
      <c r="O345" s="7">
        <f>_xlfn.NORM.DIST('DATA SIAP'!L344,$E$5,$E$6, FALSE)</f>
        <v>2.3682331348347546E-2</v>
      </c>
      <c r="T345" s="7">
        <f t="shared" si="16"/>
        <v>9.9385392810471927E-8</v>
      </c>
      <c r="U345" s="7">
        <f t="shared" si="17"/>
        <v>2.8881497020274939E-5</v>
      </c>
      <c r="W345" s="7" t="str">
        <f t="shared" si="18"/>
        <v>ANEMIA</v>
      </c>
    </row>
    <row r="346" spans="7:23" x14ac:dyDescent="0.25">
      <c r="G346" s="7">
        <f>_xlfn.NORM.DIST('DATA SIAP'!I345,$B$2,$B$3, FALSE)</f>
        <v>0.12343957965000014</v>
      </c>
      <c r="H346" s="7">
        <f>_xlfn.NORM.DIST('DATA SIAP'!J345,$C$2,$C$3, FALSE)</f>
        <v>5.8658077629097465E-2</v>
      </c>
      <c r="I346" s="7">
        <f>_xlfn.NORM.DIST('DATA SIAP'!K345,$D$2,$D$3, FALSE)</f>
        <v>0.10074504551950023</v>
      </c>
      <c r="J346" s="7">
        <f>_xlfn.NORM.DIST('DATA SIAP'!L345,$E$2,$E$3, FALSE)</f>
        <v>1.1792197701199996E-2</v>
      </c>
      <c r="L346" s="7">
        <f>_xlfn.NORM.DIST('DATA SIAP'!I345,$B$5,$B$6, FALSE)</f>
        <v>4.2501347029991324E-5</v>
      </c>
      <c r="M346" s="7">
        <f>_xlfn.NORM.DIST('DATA SIAP'!J345,$C$5,$C$6, FALSE)</f>
        <v>5.8643014773348399E-2</v>
      </c>
      <c r="N346" s="7">
        <f>_xlfn.NORM.DIST('DATA SIAP'!K345,$D$5,$D$6, FALSE)</f>
        <v>7.3356217047997774E-2</v>
      </c>
      <c r="O346" s="7">
        <f>_xlfn.NORM.DIST('DATA SIAP'!L345,$E$5,$E$6, FALSE)</f>
        <v>1.4127239788405768E-2</v>
      </c>
      <c r="T346" s="7">
        <f t="shared" si="16"/>
        <v>4.6644784401114354E-6</v>
      </c>
      <c r="U346" s="7">
        <f t="shared" si="17"/>
        <v>1.1823287204445937E-9</v>
      </c>
      <c r="W346" s="7" t="str">
        <f t="shared" si="18"/>
        <v>SEHAT</v>
      </c>
    </row>
    <row r="347" spans="7:23" x14ac:dyDescent="0.25">
      <c r="G347" s="7">
        <f>_xlfn.NORM.DIST('DATA SIAP'!I346,$B$2,$B$3, FALSE)</f>
        <v>8.0741245945897683E-2</v>
      </c>
      <c r="H347" s="7">
        <f>_xlfn.NORM.DIST('DATA SIAP'!J346,$C$2,$C$3, FALSE)</f>
        <v>4.6132241298709742E-2</v>
      </c>
      <c r="I347" s="7">
        <f>_xlfn.NORM.DIST('DATA SIAP'!K346,$D$2,$D$3, FALSE)</f>
        <v>0.13402998203293126</v>
      </c>
      <c r="J347" s="7">
        <f>_xlfn.NORM.DIST('DATA SIAP'!L346,$E$2,$E$3, FALSE)</f>
        <v>1.4871905591265448E-2</v>
      </c>
      <c r="L347" s="7">
        <f>_xlfn.NORM.DIST('DATA SIAP'!I346,$B$5,$B$6, FALSE)</f>
        <v>0.18971286532748305</v>
      </c>
      <c r="M347" s="7">
        <f>_xlfn.NORM.DIST('DATA SIAP'!J346,$C$5,$C$6, FALSE)</f>
        <v>4.8096386670595126E-2</v>
      </c>
      <c r="N347" s="7">
        <f>_xlfn.NORM.DIST('DATA SIAP'!K346,$D$5,$D$6, FALSE)</f>
        <v>0.10342099402218156</v>
      </c>
      <c r="O347" s="7">
        <f>_xlfn.NORM.DIST('DATA SIAP'!L346,$E$5,$E$6, FALSE)</f>
        <v>1.7183437044674163E-2</v>
      </c>
      <c r="T347" s="7">
        <f t="shared" si="16"/>
        <v>4.0259739626266869E-6</v>
      </c>
      <c r="U347" s="7">
        <f t="shared" si="17"/>
        <v>7.4225475748857242E-6</v>
      </c>
      <c r="W347" s="7" t="str">
        <f t="shared" si="18"/>
        <v>ANEMIA</v>
      </c>
    </row>
    <row r="348" spans="7:23" x14ac:dyDescent="0.25">
      <c r="G348" s="7">
        <f>_xlfn.NORM.DIST('DATA SIAP'!I347,$B$2,$B$3, FALSE)</f>
        <v>0.30370402725352391</v>
      </c>
      <c r="H348" s="7">
        <f>_xlfn.NORM.DIST('DATA SIAP'!J347,$C$2,$C$3, FALSE)</f>
        <v>8.6886905785492186E-2</v>
      </c>
      <c r="I348" s="7">
        <f>_xlfn.NORM.DIST('DATA SIAP'!K347,$D$2,$D$3, FALSE)</f>
        <v>0.26124555659402876</v>
      </c>
      <c r="J348" s="7">
        <f>_xlfn.NORM.DIST('DATA SIAP'!L347,$E$2,$E$3, FALSE)</f>
        <v>1.1202340112648326E-2</v>
      </c>
      <c r="L348" s="7">
        <f>_xlfn.NORM.DIST('DATA SIAP'!I347,$B$5,$B$6, FALSE)</f>
        <v>7.2709962889710416E-3</v>
      </c>
      <c r="M348" s="7">
        <f>_xlfn.NORM.DIST('DATA SIAP'!J347,$C$5,$C$6, FALSE)</f>
        <v>8.3157979511717661E-2</v>
      </c>
      <c r="N348" s="7">
        <f>_xlfn.NORM.DIST('DATA SIAP'!K347,$D$5,$D$6, FALSE)</f>
        <v>0.28477087548562913</v>
      </c>
      <c r="O348" s="7">
        <f>_xlfn.NORM.DIST('DATA SIAP'!L347,$E$5,$E$6, FALSE)</f>
        <v>1.1218656239003493E-2</v>
      </c>
      <c r="T348" s="7">
        <f t="shared" si="16"/>
        <v>4.1875974787349446E-5</v>
      </c>
      <c r="U348" s="7">
        <f t="shared" si="17"/>
        <v>8.8421784412563571E-7</v>
      </c>
      <c r="W348" s="7" t="str">
        <f t="shared" si="18"/>
        <v>SEHAT</v>
      </c>
    </row>
    <row r="349" spans="7:23" x14ac:dyDescent="0.25">
      <c r="G349" s="7">
        <f>_xlfn.NORM.DIST('DATA SIAP'!I348,$B$2,$B$3, FALSE)</f>
        <v>8.0741245945897683E-2</v>
      </c>
      <c r="H349" s="7">
        <f>_xlfn.NORM.DIST('DATA SIAP'!J348,$C$2,$C$3, FALSE)</f>
        <v>9.7226722749690922E-2</v>
      </c>
      <c r="I349" s="7">
        <f>_xlfn.NORM.DIST('DATA SIAP'!K348,$D$2,$D$3, FALSE)</f>
        <v>0.18761229391009854</v>
      </c>
      <c r="J349" s="7">
        <f>_xlfn.NORM.DIST('DATA SIAP'!L348,$E$2,$E$3, FALSE)</f>
        <v>2.3195549053694871E-2</v>
      </c>
      <c r="L349" s="7">
        <f>_xlfn.NORM.DIST('DATA SIAP'!I348,$B$5,$B$6, FALSE)</f>
        <v>0.18971286532748305</v>
      </c>
      <c r="M349" s="7">
        <f>_xlfn.NORM.DIST('DATA SIAP'!J348,$C$5,$C$6, FALSE)</f>
        <v>9.1603180839353024E-2</v>
      </c>
      <c r="N349" s="7">
        <f>_xlfn.NORM.DIST('DATA SIAP'!K348,$D$5,$D$6, FALSE)</f>
        <v>0.21939825426614995</v>
      </c>
      <c r="O349" s="7">
        <f>_xlfn.NORM.DIST('DATA SIAP'!L348,$E$5,$E$6, FALSE)</f>
        <v>2.4925915744691416E-2</v>
      </c>
      <c r="T349" s="7">
        <f t="shared" si="16"/>
        <v>1.8524625006118333E-5</v>
      </c>
      <c r="U349" s="7">
        <f t="shared" si="17"/>
        <v>4.3502742880804782E-5</v>
      </c>
      <c r="W349" s="7" t="str">
        <f t="shared" si="18"/>
        <v>SEHAT</v>
      </c>
    </row>
    <row r="350" spans="7:23" x14ac:dyDescent="0.25">
      <c r="G350" s="7">
        <f>_xlfn.NORM.DIST('DATA SIAP'!I349,$B$2,$B$3, FALSE)</f>
        <v>7.1119540327410455E-2</v>
      </c>
      <c r="H350" s="7">
        <f>_xlfn.NORM.DIST('DATA SIAP'!J349,$C$2,$C$3, FALSE)</f>
        <v>2.1620445322555359E-2</v>
      </c>
      <c r="I350" s="7">
        <f>_xlfn.NORM.DIST('DATA SIAP'!K349,$D$2,$D$3, FALSE)</f>
        <v>0.2229162921895402</v>
      </c>
      <c r="J350" s="7">
        <f>_xlfn.NORM.DIST('DATA SIAP'!L349,$E$2,$E$3, FALSE)</f>
        <v>2.856275440562573E-2</v>
      </c>
      <c r="L350" s="7">
        <f>_xlfn.NORM.DIST('DATA SIAP'!I349,$B$5,$B$6, FALSE)</f>
        <v>0.2058796345211516</v>
      </c>
      <c r="M350" s="7">
        <f>_xlfn.NORM.DIST('DATA SIAP'!J349,$C$5,$C$6, FALSE)</f>
        <v>2.4537920472792317E-2</v>
      </c>
      <c r="N350" s="7">
        <f>_xlfn.NORM.DIST('DATA SIAP'!K349,$D$5,$D$6, FALSE)</f>
        <v>0.25345247760741169</v>
      </c>
      <c r="O350" s="7">
        <f>_xlfn.NORM.DIST('DATA SIAP'!L349,$E$5,$E$6, FALSE)</f>
        <v>2.6687334078852761E-2</v>
      </c>
      <c r="T350" s="7">
        <f t="shared" si="16"/>
        <v>5.3088181989765875E-6</v>
      </c>
      <c r="U350" s="7">
        <f t="shared" si="17"/>
        <v>1.564148162166814E-5</v>
      </c>
      <c r="W350" s="7" t="str">
        <f t="shared" si="18"/>
        <v>ANEMIA</v>
      </c>
    </row>
    <row r="351" spans="7:23" x14ac:dyDescent="0.25">
      <c r="G351" s="7">
        <f>_xlfn.NORM.DIST('DATA SIAP'!I350,$B$2,$B$3, FALSE)</f>
        <v>0.13958651423065163</v>
      </c>
      <c r="H351" s="7">
        <f>_xlfn.NORM.DIST('DATA SIAP'!J350,$C$2,$C$3, FALSE)</f>
        <v>0.10099376942535292</v>
      </c>
      <c r="I351" s="7">
        <f>_xlfn.NORM.DIST('DATA SIAP'!K350,$D$2,$D$3, FALSE)</f>
        <v>0.26124555659402876</v>
      </c>
      <c r="J351" s="7">
        <f>_xlfn.NORM.DIST('DATA SIAP'!L350,$E$2,$E$3, FALSE)</f>
        <v>3.9441873796276443E-2</v>
      </c>
      <c r="L351" s="7">
        <f>_xlfn.NORM.DIST('DATA SIAP'!I350,$B$5,$B$6, FALSE)</f>
        <v>0.11401573380622193</v>
      </c>
      <c r="M351" s="7">
        <f>_xlfn.NORM.DIST('DATA SIAP'!J350,$C$5,$C$6, FALSE)</f>
        <v>9.4424779024592773E-2</v>
      </c>
      <c r="N351" s="7">
        <f>_xlfn.NORM.DIST('DATA SIAP'!K350,$D$5,$D$6, FALSE)</f>
        <v>0.28477087548562913</v>
      </c>
      <c r="O351" s="7">
        <f>_xlfn.NORM.DIST('DATA SIAP'!L350,$E$5,$E$6, FALSE)</f>
        <v>3.6461773068490452E-2</v>
      </c>
      <c r="T351" s="7">
        <f t="shared" si="16"/>
        <v>7.8767466397266511E-5</v>
      </c>
      <c r="U351" s="7">
        <f t="shared" si="17"/>
        <v>5.1169259291467215E-5</v>
      </c>
      <c r="W351" s="7" t="str">
        <f t="shared" si="18"/>
        <v>ANEMIA</v>
      </c>
    </row>
    <row r="352" spans="7:23" x14ac:dyDescent="0.25">
      <c r="G352" s="7">
        <f>_xlfn.NORM.DIST('DATA SIAP'!I351,$B$2,$B$3, FALSE)</f>
        <v>0.16684373170249162</v>
      </c>
      <c r="H352" s="7">
        <f>_xlfn.NORM.DIST('DATA SIAP'!J351,$C$2,$C$3, FALSE)</f>
        <v>3.4624801075578519E-2</v>
      </c>
      <c r="I352" s="7">
        <f>_xlfn.NORM.DIST('DATA SIAP'!K351,$D$2,$D$3, FALSE)</f>
        <v>0.11583575279547854</v>
      </c>
      <c r="J352" s="7">
        <f>_xlfn.NORM.DIST('DATA SIAP'!L351,$E$2,$E$3, FALSE)</f>
        <v>2.9121140597151454E-2</v>
      </c>
      <c r="L352" s="7">
        <f>_xlfn.NORM.DIST('DATA SIAP'!I351,$B$5,$B$6, FALSE)</f>
        <v>8.8754245198698567E-2</v>
      </c>
      <c r="M352" s="7">
        <f>_xlfn.NORM.DIST('DATA SIAP'!J351,$C$5,$C$6, FALSE)</f>
        <v>3.7509570854176257E-2</v>
      </c>
      <c r="N352" s="7">
        <f>_xlfn.NORM.DIST('DATA SIAP'!K351,$D$5,$D$6, FALSE)</f>
        <v>0.14202208186540324</v>
      </c>
      <c r="O352" s="7">
        <f>_xlfn.NORM.DIST('DATA SIAP'!L351,$E$5,$E$6, FALSE)</f>
        <v>2.7179969963234733E-2</v>
      </c>
      <c r="T352" s="7">
        <f t="shared" si="16"/>
        <v>1.0566972306293565E-5</v>
      </c>
      <c r="U352" s="7">
        <f t="shared" si="17"/>
        <v>5.882488538315528E-6</v>
      </c>
      <c r="W352" s="7" t="str">
        <f t="shared" si="18"/>
        <v>SEHAT</v>
      </c>
    </row>
    <row r="353" spans="7:23" x14ac:dyDescent="0.25">
      <c r="G353" s="7">
        <f>_xlfn.NORM.DIST('DATA SIAP'!I352,$B$2,$B$3, FALSE)</f>
        <v>1.2010622387859344E-2</v>
      </c>
      <c r="H353" s="7">
        <f>_xlfn.NORM.DIST('DATA SIAP'!J352,$C$2,$C$3, FALSE)</f>
        <v>7.971264929267137E-2</v>
      </c>
      <c r="I353" s="7">
        <f>_xlfn.NORM.DIST('DATA SIAP'!K352,$D$2,$D$3, FALSE)</f>
        <v>0.27895172274462349</v>
      </c>
      <c r="J353" s="7">
        <f>_xlfn.NORM.DIST('DATA SIAP'!L352,$E$2,$E$3, FALSE)</f>
        <v>1.0410800377101898E-2</v>
      </c>
      <c r="L353" s="7">
        <f>_xlfn.NORM.DIST('DATA SIAP'!I352,$B$5,$B$6, FALSE)</f>
        <v>0.3255971339791599</v>
      </c>
      <c r="M353" s="7">
        <f>_xlfn.NORM.DIST('DATA SIAP'!J352,$C$5,$C$6, FALSE)</f>
        <v>7.7198714394277029E-2</v>
      </c>
      <c r="N353" s="7">
        <f>_xlfn.NORM.DIST('DATA SIAP'!K352,$D$5,$D$6, FALSE)</f>
        <v>0.29358288989759423</v>
      </c>
      <c r="O353" s="7">
        <f>_xlfn.NORM.DIST('DATA SIAP'!L352,$E$5,$E$6, FALSE)</f>
        <v>1.2713025247052498E-2</v>
      </c>
      <c r="T353" s="7">
        <f t="shared" si="16"/>
        <v>1.5076769812209179E-6</v>
      </c>
      <c r="U353" s="7">
        <f t="shared" si="17"/>
        <v>4.2943289058522864E-5</v>
      </c>
      <c r="W353" s="7" t="str">
        <f t="shared" si="18"/>
        <v>ANEMIA</v>
      </c>
    </row>
    <row r="354" spans="7:23" x14ac:dyDescent="0.25">
      <c r="G354" s="7">
        <f>_xlfn.NORM.DIST('DATA SIAP'!I353,$B$2,$B$3, FALSE)</f>
        <v>0.21902250053629846</v>
      </c>
      <c r="H354" s="7">
        <f>_xlfn.NORM.DIST('DATA SIAP'!J353,$C$2,$C$3, FALSE)</f>
        <v>7.3307405012834989E-2</v>
      </c>
      <c r="I354" s="7">
        <f>_xlfn.NORM.DIST('DATA SIAP'!K353,$D$2,$D$3, FALSE)</f>
        <v>0.24378919066312044</v>
      </c>
      <c r="J354" s="7">
        <f>_xlfn.NORM.DIST('DATA SIAP'!L353,$E$2,$E$3, FALSE)</f>
        <v>1.0425577733938563E-2</v>
      </c>
      <c r="L354" s="7">
        <f>_xlfn.NORM.DIST('DATA SIAP'!I353,$B$5,$B$6, FALSE)</f>
        <v>4.061080910159737E-4</v>
      </c>
      <c r="M354" s="7">
        <f>_xlfn.NORM.DIST('DATA SIAP'!J353,$C$5,$C$6, FALSE)</f>
        <v>7.1266439731471828E-2</v>
      </c>
      <c r="N354" s="7">
        <f>_xlfn.NORM.DIST('DATA SIAP'!K353,$D$5,$D$6, FALSE)</f>
        <v>0.27158357669282918</v>
      </c>
      <c r="O354" s="7">
        <f>_xlfn.NORM.DIST('DATA SIAP'!L353,$E$5,$E$6, FALSE)</f>
        <v>1.0504409097190231E-2</v>
      </c>
      <c r="T354" s="7">
        <f t="shared" si="16"/>
        <v>2.2128579510512537E-5</v>
      </c>
      <c r="U354" s="7">
        <f t="shared" si="17"/>
        <v>3.7794347193718687E-8</v>
      </c>
      <c r="W354" s="7" t="str">
        <f t="shared" si="18"/>
        <v>SEHAT</v>
      </c>
    </row>
    <row r="355" spans="7:23" x14ac:dyDescent="0.25">
      <c r="G355" s="7">
        <f>_xlfn.NORM.DIST('DATA SIAP'!I354,$B$2,$B$3, FALSE)</f>
        <v>1.2010622387859344E-2</v>
      </c>
      <c r="H355" s="7">
        <f>_xlfn.NORM.DIST('DATA SIAP'!J354,$C$2,$C$3, FALSE)</f>
        <v>0.10369262057512099</v>
      </c>
      <c r="I355" s="7">
        <f>_xlfn.NORM.DIST('DATA SIAP'!K354,$D$2,$D$3, FALSE)</f>
        <v>0.26838104088565923</v>
      </c>
      <c r="J355" s="7">
        <f>_xlfn.NORM.DIST('DATA SIAP'!L354,$E$2,$E$3, FALSE)</f>
        <v>4.2535183622673313E-2</v>
      </c>
      <c r="L355" s="7">
        <f>_xlfn.NORM.DIST('DATA SIAP'!I354,$B$5,$B$6, FALSE)</f>
        <v>0.3255971339791599</v>
      </c>
      <c r="M355" s="7">
        <f>_xlfn.NORM.DIST('DATA SIAP'!J354,$C$5,$C$6, FALSE)</f>
        <v>9.669566850487403E-2</v>
      </c>
      <c r="N355" s="7">
        <f>_xlfn.NORM.DIST('DATA SIAP'!K354,$D$5,$D$6, FALSE)</f>
        <v>0.28924177494405268</v>
      </c>
      <c r="O355" s="7">
        <f>_xlfn.NORM.DIST('DATA SIAP'!L354,$E$5,$E$6, FALSE)</f>
        <v>3.955018890874893E-2</v>
      </c>
      <c r="T355" s="7">
        <f t="shared" si="16"/>
        <v>7.7093167378361258E-6</v>
      </c>
      <c r="U355" s="7">
        <f t="shared" si="17"/>
        <v>1.6486261570827329E-4</v>
      </c>
      <c r="W355" s="7" t="str">
        <f t="shared" si="18"/>
        <v>SEHAT</v>
      </c>
    </row>
    <row r="356" spans="7:23" x14ac:dyDescent="0.25">
      <c r="G356" s="7">
        <f>_xlfn.NORM.DIST('DATA SIAP'!I355,$B$2,$B$3, FALSE)</f>
        <v>2.1201250670888029E-3</v>
      </c>
      <c r="H356" s="7">
        <f>_xlfn.NORM.DIST('DATA SIAP'!J355,$C$2,$C$3, FALSE)</f>
        <v>6.2128959284753232E-2</v>
      </c>
      <c r="I356" s="7">
        <f>_xlfn.NORM.DIST('DATA SIAP'!K355,$D$2,$D$3, FALSE)</f>
        <v>9.470219971360351E-2</v>
      </c>
      <c r="J356" s="7">
        <f>_xlfn.NORM.DIST('DATA SIAP'!L355,$E$2,$E$3, FALSE)</f>
        <v>4.2935242772639506E-2</v>
      </c>
      <c r="L356" s="7">
        <f>_xlfn.NORM.DIST('DATA SIAP'!I355,$B$5,$B$6, FALSE)</f>
        <v>0.27340634464238739</v>
      </c>
      <c r="M356" s="7">
        <f>_xlfn.NORM.DIST('DATA SIAP'!J355,$C$5,$C$6, FALSE)</f>
        <v>6.2236262407285005E-2</v>
      </c>
      <c r="N356" s="7">
        <f>_xlfn.NORM.DIST('DATA SIAP'!K355,$D$5,$D$6, FALSE)</f>
        <v>0.1176432423163154</v>
      </c>
      <c r="O356" s="7">
        <f>_xlfn.NORM.DIST('DATA SIAP'!L355,$E$5,$E$6, FALSE)</f>
        <v>4.0050008438787192E-2</v>
      </c>
      <c r="T356" s="7">
        <f t="shared" si="16"/>
        <v>2.9042361721376604E-7</v>
      </c>
      <c r="U356" s="7">
        <f t="shared" si="17"/>
        <v>3.6698363780755865E-5</v>
      </c>
      <c r="W356" s="7" t="str">
        <f t="shared" si="18"/>
        <v>ANEMIA</v>
      </c>
    </row>
    <row r="357" spans="7:23" x14ac:dyDescent="0.25">
      <c r="G357" s="7">
        <f>_xlfn.NORM.DIST('DATA SIAP'!I356,$B$2,$B$3, FALSE)</f>
        <v>0.30216375232280629</v>
      </c>
      <c r="H357" s="7">
        <f>_xlfn.NORM.DIST('DATA SIAP'!J356,$C$2,$C$3, FALSE)</f>
        <v>9.196013276948814E-2</v>
      </c>
      <c r="I357" s="7">
        <f>_xlfn.NORM.DIST('DATA SIAP'!K356,$D$2,$D$3, FALSE)</f>
        <v>0.24936908005607247</v>
      </c>
      <c r="J357" s="7">
        <f>_xlfn.NORM.DIST('DATA SIAP'!L356,$E$2,$E$3, FALSE)</f>
        <v>4.0277435355080313E-2</v>
      </c>
      <c r="L357" s="7">
        <f>_xlfn.NORM.DIST('DATA SIAP'!I356,$B$5,$B$6, FALSE)</f>
        <v>9.0798586436414176E-3</v>
      </c>
      <c r="M357" s="7">
        <f>_xlfn.NORM.DIST('DATA SIAP'!J356,$C$5,$C$6, FALSE)</f>
        <v>8.7323802584105797E-2</v>
      </c>
      <c r="N357" s="7">
        <f>_xlfn.NORM.DIST('DATA SIAP'!K356,$D$5,$D$6, FALSE)</f>
        <v>0.22848406731540458</v>
      </c>
      <c r="O357" s="7">
        <f>_xlfn.NORM.DIST('DATA SIAP'!L356,$E$5,$E$6, FALSE)</f>
        <v>3.8848856899608576E-2</v>
      </c>
      <c r="T357" s="7">
        <f t="shared" si="16"/>
        <v>1.5133826398579234E-4</v>
      </c>
      <c r="U357" s="7">
        <f t="shared" si="17"/>
        <v>3.2215947177825157E-6</v>
      </c>
      <c r="W357" s="7" t="str">
        <f t="shared" si="18"/>
        <v>ANEMIA</v>
      </c>
    </row>
    <row r="358" spans="7:23" x14ac:dyDescent="0.25">
      <c r="G358" s="7">
        <f>_xlfn.NORM.DIST('DATA SIAP'!I357,$B$2,$B$3, FALSE)</f>
        <v>0.11112255931408969</v>
      </c>
      <c r="H358" s="7">
        <f>_xlfn.NORM.DIST('DATA SIAP'!J357,$C$2,$C$3, FALSE)</f>
        <v>3.201035707858596E-2</v>
      </c>
      <c r="I358" s="7">
        <f>_xlfn.NORM.DIST('DATA SIAP'!K357,$D$2,$D$3, FALSE)</f>
        <v>0.10074504551950023</v>
      </c>
      <c r="J358" s="7">
        <f>_xlfn.NORM.DIST('DATA SIAP'!L357,$E$2,$E$3, FALSE)</f>
        <v>3.4446299905526168E-2</v>
      </c>
      <c r="L358" s="7">
        <f>_xlfn.NORM.DIST('DATA SIAP'!I357,$B$5,$B$6, FALSE)</f>
        <v>2.9974745226935406E-5</v>
      </c>
      <c r="M358" s="7">
        <f>_xlfn.NORM.DIST('DATA SIAP'!J357,$C$5,$C$6, FALSE)</f>
        <v>3.5042122838522372E-2</v>
      </c>
      <c r="N358" s="7">
        <f>_xlfn.NORM.DIST('DATA SIAP'!K357,$D$5,$D$6, FALSE)</f>
        <v>7.3356217047997774E-2</v>
      </c>
      <c r="O358" s="7">
        <f>_xlfn.NORM.DIST('DATA SIAP'!L357,$E$5,$E$6, FALSE)</f>
        <v>3.190530925113011E-2</v>
      </c>
      <c r="T358" s="7">
        <f t="shared" si="16"/>
        <v>6.693625503621433E-6</v>
      </c>
      <c r="U358" s="7">
        <f t="shared" si="17"/>
        <v>1.1253064437648104E-9</v>
      </c>
      <c r="W358" s="7" t="str">
        <f t="shared" si="18"/>
        <v>ANEMIA</v>
      </c>
    </row>
    <row r="359" spans="7:23" x14ac:dyDescent="0.25">
      <c r="G359" s="7">
        <f>_xlfn.NORM.DIST('DATA SIAP'!I358,$B$2,$B$3, FALSE)</f>
        <v>0.27003304964902375</v>
      </c>
      <c r="H359" s="7">
        <f>_xlfn.NORM.DIST('DATA SIAP'!J358,$C$2,$C$3, FALSE)</f>
        <v>7.0291797410209786E-2</v>
      </c>
      <c r="I359" s="7">
        <f>_xlfn.NORM.DIST('DATA SIAP'!K358,$D$2,$D$3, FALSE)</f>
        <v>0.18263025300630079</v>
      </c>
      <c r="J359" s="7">
        <f>_xlfn.NORM.DIST('DATA SIAP'!L358,$E$2,$E$3, FALSE)</f>
        <v>1.835201529199881E-2</v>
      </c>
      <c r="L359" s="7">
        <f>_xlfn.NORM.DIST('DATA SIAP'!I358,$B$5,$B$6, FALSE)</f>
        <v>2.4943416509746685E-2</v>
      </c>
      <c r="M359" s="7">
        <f>_xlfn.NORM.DIST('DATA SIAP'!J358,$C$5,$C$6, FALSE)</f>
        <v>6.9248824946712695E-2</v>
      </c>
      <c r="N359" s="7">
        <f>_xlfn.NORM.DIST('DATA SIAP'!K358,$D$5,$D$6, FALSE)</f>
        <v>0.15154872267578176</v>
      </c>
      <c r="O359" s="7">
        <f>_xlfn.NORM.DIST('DATA SIAP'!L358,$E$5,$E$6, FALSE)</f>
        <v>1.7665568105621001E-2</v>
      </c>
      <c r="T359" s="7">
        <f t="shared" si="16"/>
        <v>3.4496928921724565E-5</v>
      </c>
      <c r="U359" s="7">
        <f t="shared" si="17"/>
        <v>2.116767934844237E-6</v>
      </c>
      <c r="W359" s="7" t="str">
        <f t="shared" si="18"/>
        <v>SEHAT</v>
      </c>
    </row>
    <row r="360" spans="7:23" x14ac:dyDescent="0.25">
      <c r="G360" s="7">
        <f>_xlfn.NORM.DIST('DATA SIAP'!I359,$B$2,$B$3, FALSE)</f>
        <v>5.2858549075253704E-3</v>
      </c>
      <c r="H360" s="7">
        <f>_xlfn.NORM.DIST('DATA SIAP'!J359,$C$2,$C$3, FALSE)</f>
        <v>3.8583323370972103E-2</v>
      </c>
      <c r="I360" s="7">
        <f>_xlfn.NORM.DIST('DATA SIAP'!K359,$D$2,$D$3, FALSE)</f>
        <v>0.19972434609323236</v>
      </c>
      <c r="J360" s="7">
        <f>_xlfn.NORM.DIST('DATA SIAP'!L359,$E$2,$E$3, FALSE)</f>
        <v>2.5182191050172543E-2</v>
      </c>
      <c r="L360" s="7">
        <f>_xlfn.NORM.DIST('DATA SIAP'!I359,$B$5,$B$6, FALSE)</f>
        <v>0.31475359474046671</v>
      </c>
      <c r="M360" s="7">
        <f>_xlfn.NORM.DIST('DATA SIAP'!J359,$C$5,$C$6, FALSE)</f>
        <v>4.0674463420730174E-2</v>
      </c>
      <c r="N360" s="7">
        <f>_xlfn.NORM.DIST('DATA SIAP'!K359,$D$5,$D$6, FALSE)</f>
        <v>0.23145932521706172</v>
      </c>
      <c r="O360" s="7">
        <f>_xlfn.NORM.DIST('DATA SIAP'!L359,$E$5,$E$6, FALSE)</f>
        <v>2.3707818823872639E-2</v>
      </c>
      <c r="T360" s="7">
        <f t="shared" si="16"/>
        <v>5.5621381817047513E-7</v>
      </c>
      <c r="U360" s="7">
        <f t="shared" si="17"/>
        <v>3.2157614587118655E-5</v>
      </c>
      <c r="W360" s="7" t="str">
        <f t="shared" si="18"/>
        <v>ANEMIA</v>
      </c>
    </row>
    <row r="361" spans="7:23" x14ac:dyDescent="0.25">
      <c r="G361" s="7">
        <f>_xlfn.NORM.DIST('DATA SIAP'!I360,$B$2,$B$3, FALSE)</f>
        <v>0.13958651423065163</v>
      </c>
      <c r="H361" s="7">
        <f>_xlfn.NORM.DIST('DATA SIAP'!J360,$C$2,$C$3, FALSE)</f>
        <v>0.10106844328727689</v>
      </c>
      <c r="I361" s="7">
        <f>_xlfn.NORM.DIST('DATA SIAP'!K360,$D$2,$D$3, FALSE)</f>
        <v>9.0673112978836873E-2</v>
      </c>
      <c r="J361" s="7">
        <f>_xlfn.NORM.DIST('DATA SIAP'!L360,$E$2,$E$3, FALSE)</f>
        <v>3.9075756469309733E-2</v>
      </c>
      <c r="L361" s="7">
        <f>_xlfn.NORM.DIST('DATA SIAP'!I360,$B$5,$B$6, FALSE)</f>
        <v>0.11401573380622193</v>
      </c>
      <c r="M361" s="7">
        <f>_xlfn.NORM.DIST('DATA SIAP'!J360,$C$5,$C$6, FALSE)</f>
        <v>9.468707965428283E-2</v>
      </c>
      <c r="N361" s="7">
        <f>_xlfn.NORM.DIST('DATA SIAP'!K360,$D$5,$D$6, FALSE)</f>
        <v>6.4715088889354178E-2</v>
      </c>
      <c r="O361" s="7">
        <f>_xlfn.NORM.DIST('DATA SIAP'!L360,$E$5,$E$6, FALSE)</f>
        <v>3.6118875637817391E-2</v>
      </c>
      <c r="T361" s="7">
        <f t="shared" si="16"/>
        <v>2.7104870699219714E-5</v>
      </c>
      <c r="U361" s="7">
        <f t="shared" si="17"/>
        <v>1.1551018933555019E-5</v>
      </c>
      <c r="W361" s="7" t="str">
        <f t="shared" si="18"/>
        <v>SEHAT</v>
      </c>
    </row>
    <row r="362" spans="7:23" x14ac:dyDescent="0.25">
      <c r="G362" s="7">
        <f>_xlfn.NORM.DIST('DATA SIAP'!I361,$B$2,$B$3, FALSE)</f>
        <v>8.0608030606479884E-3</v>
      </c>
      <c r="H362" s="7">
        <f>_xlfn.NORM.DIST('DATA SIAP'!J361,$C$2,$C$3, FALSE)</f>
        <v>3.0746859758606828E-2</v>
      </c>
      <c r="I362" s="7">
        <f>_xlfn.NORM.DIST('DATA SIAP'!K361,$D$2,$D$3, FALSE)</f>
        <v>0.27431225568526008</v>
      </c>
      <c r="J362" s="7">
        <f>_xlfn.NORM.DIST('DATA SIAP'!L361,$E$2,$E$3, FALSE)</f>
        <v>3.4674987419099995E-2</v>
      </c>
      <c r="L362" s="7">
        <f>_xlfn.NORM.DIST('DATA SIAP'!I361,$B$5,$B$6, FALSE)</f>
        <v>0.32443833620079482</v>
      </c>
      <c r="M362" s="7">
        <f>_xlfn.NORM.DIST('DATA SIAP'!J361,$C$5,$C$6, FALSE)</f>
        <v>3.3840026851190669E-2</v>
      </c>
      <c r="N362" s="7">
        <f>_xlfn.NORM.DIST('DATA SIAP'!K361,$D$5,$D$6, FALSE)</f>
        <v>0.29219497405814265</v>
      </c>
      <c r="O362" s="7">
        <f>_xlfn.NORM.DIST('DATA SIAP'!L361,$E$5,$E$6, FALSE)</f>
        <v>3.4616402847965869E-2</v>
      </c>
      <c r="T362" s="7">
        <f t="shared" si="16"/>
        <v>1.2783300027124577E-6</v>
      </c>
      <c r="U362" s="7">
        <f t="shared" si="17"/>
        <v>5.0832627031036086E-5</v>
      </c>
      <c r="W362" s="7" t="str">
        <f t="shared" si="18"/>
        <v>ANEMIA</v>
      </c>
    </row>
    <row r="363" spans="7:23" x14ac:dyDescent="0.25">
      <c r="G363" s="7">
        <f>_xlfn.NORM.DIST('DATA SIAP'!I362,$B$2,$B$3, FALSE)</f>
        <v>0.30370402725352391</v>
      </c>
      <c r="H363" s="7">
        <f>_xlfn.NORM.DIST('DATA SIAP'!J362,$C$2,$C$3, FALSE)</f>
        <v>7.1707907034429599E-2</v>
      </c>
      <c r="I363" s="7">
        <f>_xlfn.NORM.DIST('DATA SIAP'!K362,$D$2,$D$3, FALSE)</f>
        <v>0.20677634266355821</v>
      </c>
      <c r="J363" s="7">
        <f>_xlfn.NORM.DIST('DATA SIAP'!L362,$E$2,$E$3, FALSE)</f>
        <v>4.2458515510784361E-2</v>
      </c>
      <c r="L363" s="7">
        <f>_xlfn.NORM.DIST('DATA SIAP'!I362,$B$5,$B$6, FALSE)</f>
        <v>7.2709962889710416E-3</v>
      </c>
      <c r="M363" s="7">
        <f>_xlfn.NORM.DIST('DATA SIAP'!J362,$C$5,$C$6, FALSE)</f>
        <v>6.9903844489154029E-2</v>
      </c>
      <c r="N363" s="7">
        <f>_xlfn.NORM.DIST('DATA SIAP'!K362,$D$5,$D$6, FALSE)</f>
        <v>0.17758313678314452</v>
      </c>
      <c r="O363" s="7">
        <f>_xlfn.NORM.DIST('DATA SIAP'!L362,$E$5,$E$6, FALSE)</f>
        <v>3.9463063601149748E-2</v>
      </c>
      <c r="T363" s="7">
        <f t="shared" si="16"/>
        <v>1.0367776672956079E-4</v>
      </c>
      <c r="U363" s="7">
        <f t="shared" si="17"/>
        <v>1.6304688906245302E-6</v>
      </c>
      <c r="W363" s="7" t="str">
        <f t="shared" si="18"/>
        <v>ANEMIA</v>
      </c>
    </row>
    <row r="364" spans="7:23" x14ac:dyDescent="0.25">
      <c r="G364" s="7">
        <f>_xlfn.NORM.DIST('DATA SIAP'!I363,$B$2,$B$3, FALSE)</f>
        <v>0.20533799040714429</v>
      </c>
      <c r="H364" s="7">
        <f>_xlfn.NORM.DIST('DATA SIAP'!J363,$C$2,$C$3, FALSE)</f>
        <v>7.3307405012834989E-2</v>
      </c>
      <c r="I364" s="7">
        <f>_xlfn.NORM.DIST('DATA SIAP'!K363,$D$2,$D$3, FALSE)</f>
        <v>0.28409794666229643</v>
      </c>
      <c r="J364" s="7">
        <f>_xlfn.NORM.DIST('DATA SIAP'!L363,$E$2,$E$3, FALSE)</f>
        <v>3.7035319866964719E-2</v>
      </c>
      <c r="L364" s="7">
        <f>_xlfn.NORM.DIST('DATA SIAP'!I363,$B$5,$B$6, FALSE)</f>
        <v>3.0013545453784864E-4</v>
      </c>
      <c r="M364" s="7">
        <f>_xlfn.NORM.DIST('DATA SIAP'!J363,$C$5,$C$6, FALSE)</f>
        <v>7.1266439731471828E-2</v>
      </c>
      <c r="N364" s="7">
        <f>_xlfn.NORM.DIST('DATA SIAP'!K363,$D$5,$D$6, FALSE)</f>
        <v>0.29159869003801719</v>
      </c>
      <c r="O364" s="7">
        <f>_xlfn.NORM.DIST('DATA SIAP'!L363,$E$5,$E$6, FALSE)</f>
        <v>3.4240271021540189E-2</v>
      </c>
      <c r="T364" s="7">
        <f t="shared" si="16"/>
        <v>8.5882312369472562E-5</v>
      </c>
      <c r="U364" s="7">
        <f t="shared" si="17"/>
        <v>9.7757511725317165E-8</v>
      </c>
      <c r="W364" s="7" t="str">
        <f t="shared" si="18"/>
        <v>ANEMIA</v>
      </c>
    </row>
    <row r="365" spans="7:23" x14ac:dyDescent="0.25">
      <c r="G365" s="7">
        <f>_xlfn.NORM.DIST('DATA SIAP'!I364,$B$2,$B$3, FALSE)</f>
        <v>0.13632881677636685</v>
      </c>
      <c r="H365" s="7">
        <f>_xlfn.NORM.DIST('DATA SIAP'!J364,$C$2,$C$3, FALSE)</f>
        <v>8.1028568636010212E-2</v>
      </c>
      <c r="I365" s="7">
        <f>_xlfn.NORM.DIST('DATA SIAP'!K364,$D$2,$D$3, FALSE)</f>
        <v>9.0673112978836873E-2</v>
      </c>
      <c r="J365" s="7">
        <f>_xlfn.NORM.DIST('DATA SIAP'!L364,$E$2,$E$3, FALSE)</f>
        <v>4.0435371298932959E-2</v>
      </c>
      <c r="L365" s="7">
        <f>_xlfn.NORM.DIST('DATA SIAP'!I364,$B$5,$B$6, FALSE)</f>
        <v>5.9861366178646597E-5</v>
      </c>
      <c r="M365" s="7">
        <f>_xlfn.NORM.DIST('DATA SIAP'!J364,$C$5,$C$6, FALSE)</f>
        <v>7.7797640347285577E-2</v>
      </c>
      <c r="N365" s="7">
        <f>_xlfn.NORM.DIST('DATA SIAP'!K364,$D$5,$D$6, FALSE)</f>
        <v>6.4715088889354178E-2</v>
      </c>
      <c r="O365" s="7">
        <f>_xlfn.NORM.DIST('DATA SIAP'!L364,$E$5,$E$6, FALSE)</f>
        <v>3.8959063740723637E-2</v>
      </c>
      <c r="T365" s="7">
        <f t="shared" si="16"/>
        <v>2.1961812271983746E-5</v>
      </c>
      <c r="U365" s="7">
        <f t="shared" si="17"/>
        <v>5.3746739678197812E-9</v>
      </c>
      <c r="W365" s="7" t="str">
        <f t="shared" si="18"/>
        <v>ANEMIA</v>
      </c>
    </row>
    <row r="366" spans="7:23" x14ac:dyDescent="0.25">
      <c r="G366" s="7">
        <f>_xlfn.NORM.DIST('DATA SIAP'!I365,$B$2,$B$3, FALSE)</f>
        <v>0.16684373170249162</v>
      </c>
      <c r="H366" s="7">
        <f>_xlfn.NORM.DIST('DATA SIAP'!J365,$C$2,$C$3, FALSE)</f>
        <v>0.10294488609851993</v>
      </c>
      <c r="I366" s="7">
        <f>_xlfn.NORM.DIST('DATA SIAP'!K365,$D$2,$D$3, FALSE)</f>
        <v>0.12248570720321851</v>
      </c>
      <c r="J366" s="7">
        <f>_xlfn.NORM.DIST('DATA SIAP'!L365,$E$2,$E$3, FALSE)</f>
        <v>4.1546467345609676E-2</v>
      </c>
      <c r="L366" s="7">
        <f>_xlfn.NORM.DIST('DATA SIAP'!I365,$B$5,$B$6, FALSE)</f>
        <v>8.8754245198698567E-2</v>
      </c>
      <c r="M366" s="7">
        <f>_xlfn.NORM.DIST('DATA SIAP'!J365,$C$5,$C$6, FALSE)</f>
        <v>9.6054822864921827E-2</v>
      </c>
      <c r="N366" s="7">
        <f>_xlfn.NORM.DIST('DATA SIAP'!K365,$D$5,$D$6, FALSE)</f>
        <v>9.2733895700821981E-2</v>
      </c>
      <c r="O366" s="7">
        <f>_xlfn.NORM.DIST('DATA SIAP'!L365,$E$5,$E$6, FALSE)</f>
        <v>3.9704809183221605E-2</v>
      </c>
      <c r="T366" s="7">
        <f t="shared" si="16"/>
        <v>4.7395441070295036E-5</v>
      </c>
      <c r="U366" s="7">
        <f t="shared" si="17"/>
        <v>1.4368616067236166E-5</v>
      </c>
      <c r="W366" s="7" t="str">
        <f t="shared" si="18"/>
        <v>ANEMIA</v>
      </c>
    </row>
    <row r="367" spans="7:23" x14ac:dyDescent="0.25">
      <c r="G367" s="7">
        <f>_xlfn.NORM.DIST('DATA SIAP'!I366,$B$2,$B$3, FALSE)</f>
        <v>0.24488979130800856</v>
      </c>
      <c r="H367" s="7">
        <f>_xlfn.NORM.DIST('DATA SIAP'!J366,$C$2,$C$3, FALSE)</f>
        <v>6.3569584407233218E-2</v>
      </c>
      <c r="I367" s="7">
        <f>_xlfn.NORM.DIST('DATA SIAP'!K366,$D$2,$D$3, FALSE)</f>
        <v>0.19482359643262351</v>
      </c>
      <c r="J367" s="7">
        <f>_xlfn.NORM.DIST('DATA SIAP'!L366,$E$2,$E$3, FALSE)</f>
        <v>1.4425130051272671E-2</v>
      </c>
      <c r="L367" s="7">
        <f>_xlfn.NORM.DIST('DATA SIAP'!I366,$B$5,$B$6, FALSE)</f>
        <v>7.2875329317061859E-4</v>
      </c>
      <c r="M367" s="7">
        <f>_xlfn.NORM.DIST('DATA SIAP'!J366,$C$5,$C$6, FALSE)</f>
        <v>6.2913290847141742E-2</v>
      </c>
      <c r="N367" s="7">
        <f>_xlfn.NORM.DIST('DATA SIAP'!K366,$D$5,$D$6, FALSE)</f>
        <v>0.16449544010737174</v>
      </c>
      <c r="O367" s="7">
        <f>_xlfn.NORM.DIST('DATA SIAP'!L366,$E$5,$E$6, FALSE)</f>
        <v>1.414855989925907E-2</v>
      </c>
      <c r="T367" s="7">
        <f t="shared" si="16"/>
        <v>2.372377123337805E-5</v>
      </c>
      <c r="U367" s="7">
        <f t="shared" si="17"/>
        <v>4.8844317617513398E-8</v>
      </c>
      <c r="W367" s="7" t="str">
        <f t="shared" si="18"/>
        <v>ANEMIA</v>
      </c>
    </row>
    <row r="368" spans="7:23" x14ac:dyDescent="0.25">
      <c r="G368" s="7">
        <f>_xlfn.NORM.DIST('DATA SIAP'!I367,$B$2,$B$3, FALSE)</f>
        <v>0.30216375232280629</v>
      </c>
      <c r="H368" s="7">
        <f>_xlfn.NORM.DIST('DATA SIAP'!J367,$C$2,$C$3, FALSE)</f>
        <v>3.201035707858596E-2</v>
      </c>
      <c r="I368" s="7">
        <f>_xlfn.NORM.DIST('DATA SIAP'!K367,$D$2,$D$3, FALSE)</f>
        <v>0.15083248924656931</v>
      </c>
      <c r="J368" s="7">
        <f>_xlfn.NORM.DIST('DATA SIAP'!L367,$E$2,$E$3, FALSE)</f>
        <v>3.0228518160076812E-2</v>
      </c>
      <c r="L368" s="7">
        <f>_xlfn.NORM.DIST('DATA SIAP'!I367,$B$5,$B$6, FALSE)</f>
        <v>9.0798586436414176E-3</v>
      </c>
      <c r="M368" s="7">
        <f>_xlfn.NORM.DIST('DATA SIAP'!J367,$C$5,$C$6, FALSE)</f>
        <v>3.5042122838522372E-2</v>
      </c>
      <c r="N368" s="7">
        <f>_xlfn.NORM.DIST('DATA SIAP'!K367,$D$5,$D$6, FALSE)</f>
        <v>0.18087822136530166</v>
      </c>
      <c r="O368" s="7">
        <f>_xlfn.NORM.DIST('DATA SIAP'!L367,$E$5,$E$6, FALSE)</f>
        <v>2.8157927625313401E-2</v>
      </c>
      <c r="T368" s="7">
        <f t="shared" si="16"/>
        <v>2.3913713455219975E-5</v>
      </c>
      <c r="U368" s="7">
        <f t="shared" si="17"/>
        <v>7.4179085426609858E-7</v>
      </c>
      <c r="W368" s="7" t="str">
        <f t="shared" si="18"/>
        <v>ANEMIA</v>
      </c>
    </row>
    <row r="369" spans="7:23" x14ac:dyDescent="0.25">
      <c r="G369" s="7">
        <f>_xlfn.NORM.DIST('DATA SIAP'!I368,$B$2,$B$3, FALSE)</f>
        <v>0.20533799040714429</v>
      </c>
      <c r="H369" s="7">
        <f>_xlfn.NORM.DIST('DATA SIAP'!J368,$C$2,$C$3, FALSE)</f>
        <v>7.9529562482071894E-2</v>
      </c>
      <c r="I369" s="7">
        <f>_xlfn.NORM.DIST('DATA SIAP'!K368,$D$2,$D$3, FALSE)</f>
        <v>0.2229162921895402</v>
      </c>
      <c r="J369" s="7">
        <f>_xlfn.NORM.DIST('DATA SIAP'!L368,$E$2,$E$3, FALSE)</f>
        <v>2.490033777875424E-2</v>
      </c>
      <c r="L369" s="7">
        <f>_xlfn.NORM.DIST('DATA SIAP'!I368,$B$5,$B$6, FALSE)</f>
        <v>3.0013545453784864E-4</v>
      </c>
      <c r="M369" s="7">
        <f>_xlfn.NORM.DIST('DATA SIAP'!J368,$C$5,$C$6, FALSE)</f>
        <v>7.6535332316773924E-2</v>
      </c>
      <c r="N369" s="7">
        <f>_xlfn.NORM.DIST('DATA SIAP'!K368,$D$5,$D$6, FALSE)</f>
        <v>0.25345247760741169</v>
      </c>
      <c r="O369" s="7">
        <f>_xlfn.NORM.DIST('DATA SIAP'!L368,$E$5,$E$6, FALSE)</f>
        <v>2.3459399144887809E-2</v>
      </c>
      <c r="T369" s="7">
        <f t="shared" si="16"/>
        <v>4.9152694523596206E-5</v>
      </c>
      <c r="U369" s="7">
        <f t="shared" si="17"/>
        <v>6.2519818855604836E-8</v>
      </c>
      <c r="W369" s="7" t="str">
        <f t="shared" si="18"/>
        <v>SEHAT</v>
      </c>
    </row>
    <row r="370" spans="7:23" x14ac:dyDescent="0.25">
      <c r="G370" s="7">
        <f>_xlfn.NORM.DIST('DATA SIAP'!I369,$B$2,$B$3, FALSE)</f>
        <v>7.7500453168946029E-4</v>
      </c>
      <c r="H370" s="7">
        <f>_xlfn.NORM.DIST('DATA SIAP'!J369,$C$2,$C$3, FALSE)</f>
        <v>7.3500308296642849E-2</v>
      </c>
      <c r="I370" s="7">
        <f>_xlfn.NORM.DIST('DATA SIAP'!K369,$D$2,$D$3, FALSE)</f>
        <v>9.470219971360351E-2</v>
      </c>
      <c r="J370" s="7">
        <f>_xlfn.NORM.DIST('DATA SIAP'!L369,$E$2,$E$3, FALSE)</f>
        <v>2.1557241384087281E-2</v>
      </c>
      <c r="L370" s="7">
        <f>_xlfn.NORM.DIST('DATA SIAP'!I369,$B$5,$B$6, FALSE)</f>
        <v>0.21339991527020385</v>
      </c>
      <c r="M370" s="7">
        <f>_xlfn.NORM.DIST('DATA SIAP'!J369,$C$5,$C$6, FALSE)</f>
        <v>7.197283357529842E-2</v>
      </c>
      <c r="N370" s="7">
        <f>_xlfn.NORM.DIST('DATA SIAP'!K369,$D$5,$D$6, FALSE)</f>
        <v>0.1176432423163154</v>
      </c>
      <c r="O370" s="7">
        <f>_xlfn.NORM.DIST('DATA SIAP'!L369,$E$5,$E$6, FALSE)</f>
        <v>2.0508661332566448E-2</v>
      </c>
      <c r="T370" s="7">
        <f t="shared" si="16"/>
        <v>6.3059283953640597E-8</v>
      </c>
      <c r="U370" s="7">
        <f t="shared" si="17"/>
        <v>1.6962589612148606E-5</v>
      </c>
      <c r="W370" s="7" t="str">
        <f t="shared" si="18"/>
        <v>SEHAT</v>
      </c>
    </row>
    <row r="371" spans="7:23" x14ac:dyDescent="0.25">
      <c r="G371" s="7">
        <f>_xlfn.NORM.DIST('DATA SIAP'!I370,$B$2,$B$3, FALSE)</f>
        <v>8.0608030606479884E-3</v>
      </c>
      <c r="H371" s="7">
        <f>_xlfn.NORM.DIST('DATA SIAP'!J370,$C$2,$C$3, FALSE)</f>
        <v>4.9038831719931585E-2</v>
      </c>
      <c r="I371" s="7">
        <f>_xlfn.NORM.DIST('DATA SIAP'!K370,$D$2,$D$3, FALSE)</f>
        <v>0.26124555659402876</v>
      </c>
      <c r="J371" s="7">
        <f>_xlfn.NORM.DIST('DATA SIAP'!L370,$E$2,$E$3, FALSE)</f>
        <v>1.809374986395048E-2</v>
      </c>
      <c r="L371" s="7">
        <f>_xlfn.NORM.DIST('DATA SIAP'!I370,$B$5,$B$6, FALSE)</f>
        <v>0.32443833620079482</v>
      </c>
      <c r="M371" s="7">
        <f>_xlfn.NORM.DIST('DATA SIAP'!J370,$C$5,$C$6, FALSE)</f>
        <v>5.0148101215483833E-2</v>
      </c>
      <c r="N371" s="7">
        <f>_xlfn.NORM.DIST('DATA SIAP'!K370,$D$5,$D$6, FALSE)</f>
        <v>0.28477087548562913</v>
      </c>
      <c r="O371" s="7">
        <f>_xlfn.NORM.DIST('DATA SIAP'!L370,$E$5,$E$6, FALSE)</f>
        <v>1.7435586089818173E-2</v>
      </c>
      <c r="T371" s="7">
        <f t="shared" si="16"/>
        <v>1.0132072793527352E-6</v>
      </c>
      <c r="U371" s="7">
        <f t="shared" si="17"/>
        <v>3.6978031882958185E-5</v>
      </c>
      <c r="W371" s="7" t="str">
        <f t="shared" si="18"/>
        <v>ANEMIA</v>
      </c>
    </row>
    <row r="372" spans="7:23" x14ac:dyDescent="0.25">
      <c r="G372" s="7">
        <f>_xlfn.NORM.DIST('DATA SIAP'!I371,$B$2,$B$3, FALSE)</f>
        <v>0.20874557925923554</v>
      </c>
      <c r="H372" s="7">
        <f>_xlfn.NORM.DIST('DATA SIAP'!J371,$C$2,$C$3, FALSE)</f>
        <v>3.4624801075578519E-2</v>
      </c>
      <c r="I372" s="7">
        <f>_xlfn.NORM.DIST('DATA SIAP'!K371,$D$2,$D$3, FALSE)</f>
        <v>9.470219971360351E-2</v>
      </c>
      <c r="J372" s="7">
        <f>_xlfn.NORM.DIST('DATA SIAP'!L371,$E$2,$E$3, FALSE)</f>
        <v>3.9949424610234381E-2</v>
      </c>
      <c r="L372" s="7">
        <f>_xlfn.NORM.DIST('DATA SIAP'!I371,$B$5,$B$6, FALSE)</f>
        <v>5.7976390272245056E-2</v>
      </c>
      <c r="M372" s="7">
        <f>_xlfn.NORM.DIST('DATA SIAP'!J371,$C$5,$C$6, FALSE)</f>
        <v>3.7509570854176257E-2</v>
      </c>
      <c r="N372" s="7">
        <f>_xlfn.NORM.DIST('DATA SIAP'!K371,$D$5,$D$6, FALSE)</f>
        <v>0.1176432423163154</v>
      </c>
      <c r="O372" s="7">
        <f>_xlfn.NORM.DIST('DATA SIAP'!L371,$E$5,$E$6, FALSE)</f>
        <v>3.8617463930012148E-2</v>
      </c>
      <c r="T372" s="7">
        <f t="shared" si="16"/>
        <v>1.4827828355061818E-5</v>
      </c>
      <c r="U372" s="7">
        <f t="shared" si="17"/>
        <v>4.5224004376118363E-6</v>
      </c>
      <c r="W372" s="7" t="str">
        <f t="shared" si="18"/>
        <v>SEHAT</v>
      </c>
    </row>
    <row r="373" spans="7:23" x14ac:dyDescent="0.25">
      <c r="G373" s="7">
        <f>_xlfn.NORM.DIST('DATA SIAP'!I372,$B$2,$B$3, FALSE)</f>
        <v>2.1201250670888029E-3</v>
      </c>
      <c r="H373" s="7">
        <f>_xlfn.NORM.DIST('DATA SIAP'!J372,$C$2,$C$3, FALSE)</f>
        <v>4.7483818773789224E-2</v>
      </c>
      <c r="I373" s="7">
        <f>_xlfn.NORM.DIST('DATA SIAP'!K372,$D$2,$D$3, FALSE)</f>
        <v>0.17534041784492749</v>
      </c>
      <c r="J373" s="7">
        <f>_xlfn.NORM.DIST('DATA SIAP'!L372,$E$2,$E$3, FALSE)</f>
        <v>2.0469199682128795E-2</v>
      </c>
      <c r="L373" s="7">
        <f>_xlfn.NORM.DIST('DATA SIAP'!I372,$B$5,$B$6, FALSE)</f>
        <v>0.27340634464238739</v>
      </c>
      <c r="M373" s="7">
        <f>_xlfn.NORM.DIST('DATA SIAP'!J372,$C$5,$C$6, FALSE)</f>
        <v>4.875642378770937E-2</v>
      </c>
      <c r="N373" s="7">
        <f>_xlfn.NORM.DIST('DATA SIAP'!K372,$D$5,$D$6, FALSE)</f>
        <v>0.20684161907798584</v>
      </c>
      <c r="O373" s="7">
        <f>_xlfn.NORM.DIST('DATA SIAP'!L372,$E$5,$E$6, FALSE)</f>
        <v>1.9545578896365622E-2</v>
      </c>
      <c r="T373" s="7">
        <f t="shared" si="16"/>
        <v>1.9592614808569791E-7</v>
      </c>
      <c r="U373" s="7">
        <f t="shared" si="17"/>
        <v>2.4669020759872432E-5</v>
      </c>
      <c r="W373" s="7" t="str">
        <f t="shared" si="18"/>
        <v>SEHAT</v>
      </c>
    </row>
    <row r="374" spans="7:23" x14ac:dyDescent="0.25">
      <c r="G374" s="7">
        <f>_xlfn.NORM.DIST('DATA SIAP'!I373,$B$2,$B$3, FALSE)</f>
        <v>8.0608030606479884E-3</v>
      </c>
      <c r="H374" s="7">
        <f>_xlfn.NORM.DIST('DATA SIAP'!J373,$C$2,$C$3, FALSE)</f>
        <v>5.5408394908653263E-2</v>
      </c>
      <c r="I374" s="7">
        <f>_xlfn.NORM.DIST('DATA SIAP'!K373,$D$2,$D$3, FALSE)</f>
        <v>0.25802048460065757</v>
      </c>
      <c r="J374" s="7">
        <f>_xlfn.NORM.DIST('DATA SIAP'!L373,$E$2,$E$3, FALSE)</f>
        <v>1.4195599504595586E-2</v>
      </c>
      <c r="L374" s="7">
        <f>_xlfn.NORM.DIST('DATA SIAP'!I373,$B$5,$B$6, FALSE)</f>
        <v>0.32443833620079482</v>
      </c>
      <c r="M374" s="7">
        <f>_xlfn.NORM.DIST('DATA SIAP'!J373,$C$5,$C$6, FALSE)</f>
        <v>5.5793807117840009E-2</v>
      </c>
      <c r="N374" s="7">
        <f>_xlfn.NORM.DIST('DATA SIAP'!K373,$D$5,$D$6, FALSE)</f>
        <v>0.24006849003587924</v>
      </c>
      <c r="O374" s="7">
        <f>_xlfn.NORM.DIST('DATA SIAP'!L373,$E$5,$E$6, FALSE)</f>
        <v>1.3941410677921495E-2</v>
      </c>
      <c r="T374" s="7">
        <f t="shared" si="16"/>
        <v>8.8708285564523E-7</v>
      </c>
      <c r="U374" s="7">
        <f t="shared" si="17"/>
        <v>2.773224676866835E-5</v>
      </c>
      <c r="W374" s="7" t="str">
        <f t="shared" si="18"/>
        <v>ANEMIA</v>
      </c>
    </row>
    <row r="375" spans="7:23" x14ac:dyDescent="0.25">
      <c r="G375" s="7">
        <f>_xlfn.NORM.DIST('DATA SIAP'!I374,$B$2,$B$3, FALSE)</f>
        <v>0.30216375232280629</v>
      </c>
      <c r="H375" s="7">
        <f>_xlfn.NORM.DIST('DATA SIAP'!J374,$C$2,$C$3, FALSE)</f>
        <v>5.061046720391453E-2</v>
      </c>
      <c r="I375" s="7">
        <f>_xlfn.NORM.DIST('DATA SIAP'!K374,$D$2,$D$3, FALSE)</f>
        <v>0.23978470508171501</v>
      </c>
      <c r="J375" s="7">
        <f>_xlfn.NORM.DIST('DATA SIAP'!L374,$E$2,$E$3, FALSE)</f>
        <v>2.4034853209085428E-2</v>
      </c>
      <c r="L375" s="7">
        <f>_xlfn.NORM.DIST('DATA SIAP'!I374,$B$5,$B$6, FALSE)</f>
        <v>9.0798586436414176E-3</v>
      </c>
      <c r="M375" s="7">
        <f>_xlfn.NORM.DIST('DATA SIAP'!J374,$C$5,$C$6, FALSE)</f>
        <v>5.1549117452228205E-2</v>
      </c>
      <c r="N375" s="7">
        <f>_xlfn.NORM.DIST('DATA SIAP'!K374,$D$5,$D$6, FALSE)</f>
        <v>0.21628328516595105</v>
      </c>
      <c r="O375" s="7">
        <f>_xlfn.NORM.DIST('DATA SIAP'!L374,$E$5,$E$6, FALSE)</f>
        <v>2.5671502032221176E-2</v>
      </c>
      <c r="T375" s="7">
        <f t="shared" si="16"/>
        <v>4.7791211946875324E-5</v>
      </c>
      <c r="U375" s="7">
        <f t="shared" si="17"/>
        <v>1.1895962087312965E-6</v>
      </c>
      <c r="W375" s="7" t="str">
        <f t="shared" si="18"/>
        <v>SEHAT</v>
      </c>
    </row>
    <row r="376" spans="7:23" x14ac:dyDescent="0.25">
      <c r="G376" s="7">
        <f>_xlfn.NORM.DIST('DATA SIAP'!I375,$B$2,$B$3, FALSE)</f>
        <v>6.5464560736304186E-3</v>
      </c>
      <c r="H376" s="7">
        <f>_xlfn.NORM.DIST('DATA SIAP'!J375,$C$2,$C$3, FALSE)</f>
        <v>4.7671367516506913E-2</v>
      </c>
      <c r="I376" s="7">
        <f>_xlfn.NORM.DIST('DATA SIAP'!K375,$D$2,$D$3, FALSE)</f>
        <v>0.11583575279547854</v>
      </c>
      <c r="J376" s="7">
        <f>_xlfn.NORM.DIST('DATA SIAP'!L375,$E$2,$E$3, FALSE)</f>
        <v>1.0794379454086088E-2</v>
      </c>
      <c r="L376" s="7">
        <f>_xlfn.NORM.DIST('DATA SIAP'!I375,$B$5,$B$6, FALSE)</f>
        <v>0.32062919492472447</v>
      </c>
      <c r="M376" s="7">
        <f>_xlfn.NORM.DIST('DATA SIAP'!J375,$C$5,$C$6, FALSE)</f>
        <v>4.9483128589422345E-2</v>
      </c>
      <c r="N376" s="7">
        <f>_xlfn.NORM.DIST('DATA SIAP'!K375,$D$5,$D$6, FALSE)</f>
        <v>0.14202208186540324</v>
      </c>
      <c r="O376" s="7">
        <f>_xlfn.NORM.DIST('DATA SIAP'!L375,$E$5,$E$6, FALSE)</f>
        <v>1.3108720218987176E-2</v>
      </c>
      <c r="T376" s="7">
        <f t="shared" si="16"/>
        <v>2.1159556243743128E-7</v>
      </c>
      <c r="U376" s="7">
        <f t="shared" si="17"/>
        <v>1.3520769093113122E-5</v>
      </c>
      <c r="W376" s="7" t="str">
        <f t="shared" si="18"/>
        <v>SEHAT</v>
      </c>
    </row>
    <row r="377" spans="7:23" x14ac:dyDescent="0.25">
      <c r="G377" s="7">
        <f>_xlfn.NORM.DIST('DATA SIAP'!I376,$B$2,$B$3, FALSE)</f>
        <v>6.2282131541449362E-2</v>
      </c>
      <c r="H377" s="7">
        <f>_xlfn.NORM.DIST('DATA SIAP'!J376,$C$2,$C$3, FALSE)</f>
        <v>8.2676258402150635E-2</v>
      </c>
      <c r="I377" s="7">
        <f>_xlfn.NORM.DIST('DATA SIAP'!K376,$D$2,$D$3, FALSE)</f>
        <v>0.11583575279547854</v>
      </c>
      <c r="J377" s="7">
        <f>_xlfn.NORM.DIST('DATA SIAP'!L376,$E$2,$E$3, FALSE)</f>
        <v>1.4407172387283338E-2</v>
      </c>
      <c r="L377" s="7">
        <f>_xlfn.NORM.DIST('DATA SIAP'!I376,$B$5,$B$6, FALSE)</f>
        <v>0.22193547602789976</v>
      </c>
      <c r="M377" s="7">
        <f>_xlfn.NORM.DIST('DATA SIAP'!J376,$C$5,$C$6, FALSE)</f>
        <v>7.9670096278473143E-2</v>
      </c>
      <c r="N377" s="7">
        <f>_xlfn.NORM.DIST('DATA SIAP'!K376,$D$5,$D$6, FALSE)</f>
        <v>0.14202208186540324</v>
      </c>
      <c r="O377" s="7">
        <f>_xlfn.NORM.DIST('DATA SIAP'!L376,$E$5,$E$6, FALSE)</f>
        <v>1.6729982709689464E-2</v>
      </c>
      <c r="T377" s="7">
        <f t="shared" si="16"/>
        <v>4.6598081894124193E-6</v>
      </c>
      <c r="U377" s="7">
        <f t="shared" si="17"/>
        <v>1.9230848654053899E-5</v>
      </c>
      <c r="W377" s="7" t="str">
        <f t="shared" si="18"/>
        <v>ANEMIA</v>
      </c>
    </row>
    <row r="378" spans="7:23" x14ac:dyDescent="0.25">
      <c r="G378" s="7">
        <f>_xlfn.NORM.DIST('DATA SIAP'!I377,$B$2,$B$3, FALSE)</f>
        <v>0.27720518307710384</v>
      </c>
      <c r="H378" s="7">
        <f>_xlfn.NORM.DIST('DATA SIAP'!J377,$C$2,$C$3, FALSE)</f>
        <v>3.0595728782140248E-2</v>
      </c>
      <c r="I378" s="7">
        <f>_xlfn.NORM.DIST('DATA SIAP'!K377,$D$2,$D$3, FALSE)</f>
        <v>9.0673112978836873E-2</v>
      </c>
      <c r="J378" s="7">
        <f>_xlfn.NORM.DIST('DATA SIAP'!L377,$E$2,$E$3, FALSE)</f>
        <v>2.6593454260922991E-2</v>
      </c>
      <c r="L378" s="7">
        <f>_xlfn.NORM.DIST('DATA SIAP'!I377,$B$5,$B$6, FALSE)</f>
        <v>1.666151072771268E-3</v>
      </c>
      <c r="M378" s="7">
        <f>_xlfn.NORM.DIST('DATA SIAP'!J377,$C$5,$C$6, FALSE)</f>
        <v>3.3219956942335309E-2</v>
      </c>
      <c r="N378" s="7">
        <f>_xlfn.NORM.DIST('DATA SIAP'!K377,$D$5,$D$6, FALSE)</f>
        <v>6.4715088889354178E-2</v>
      </c>
      <c r="O378" s="7">
        <f>_xlfn.NORM.DIST('DATA SIAP'!L377,$E$5,$E$6, FALSE)</f>
        <v>2.4951425929334678E-2</v>
      </c>
      <c r="T378" s="7">
        <f t="shared" si="16"/>
        <v>1.1089649186587273E-5</v>
      </c>
      <c r="U378" s="7">
        <f t="shared" si="17"/>
        <v>4.0910932287008293E-8</v>
      </c>
      <c r="W378" s="7" t="str">
        <f t="shared" si="18"/>
        <v>ANEMIA</v>
      </c>
    </row>
    <row r="379" spans="7:23" x14ac:dyDescent="0.25">
      <c r="G379" s="7">
        <f>_xlfn.NORM.DIST('DATA SIAP'!I378,$B$2,$B$3, FALSE)</f>
        <v>0.30151576175515343</v>
      </c>
      <c r="H379" s="7">
        <f>_xlfn.NORM.DIST('DATA SIAP'!J378,$C$2,$C$3, FALSE)</f>
        <v>5.0802020562053983E-2</v>
      </c>
      <c r="I379" s="7">
        <f>_xlfn.NORM.DIST('DATA SIAP'!K378,$D$2,$D$3, FALSE)</f>
        <v>0.14591803167133907</v>
      </c>
      <c r="J379" s="7">
        <f>_xlfn.NORM.DIST('DATA SIAP'!L378,$E$2,$E$3, FALSE)</f>
        <v>3.6112991512409216E-2</v>
      </c>
      <c r="L379" s="7">
        <f>_xlfn.NORM.DIST('DATA SIAP'!I378,$B$5,$B$6, FALSE)</f>
        <v>4.5699747438066405E-3</v>
      </c>
      <c r="M379" s="7">
        <f>_xlfn.NORM.DIST('DATA SIAP'!J378,$C$5,$C$6, FALSE)</f>
        <v>5.2285205611031955E-2</v>
      </c>
      <c r="N379" s="7">
        <f>_xlfn.NORM.DIST('DATA SIAP'!K378,$D$5,$D$6, FALSE)</f>
        <v>0.11471631470308251</v>
      </c>
      <c r="O379" s="7">
        <f>_xlfn.NORM.DIST('DATA SIAP'!L378,$E$5,$E$6, FALSE)</f>
        <v>3.574601496646352E-2</v>
      </c>
      <c r="T379" s="7">
        <f t="shared" si="16"/>
        <v>4.3768918445622146E-5</v>
      </c>
      <c r="U379" s="7">
        <f t="shared" si="17"/>
        <v>4.4850826649166461E-7</v>
      </c>
      <c r="W379" s="7" t="str">
        <f t="shared" si="18"/>
        <v>ANEMIA</v>
      </c>
    </row>
    <row r="380" spans="7:23" x14ac:dyDescent="0.25">
      <c r="G380" s="7">
        <f>_xlfn.NORM.DIST('DATA SIAP'!I379,$B$2,$B$3, FALSE)</f>
        <v>0.25670433563455602</v>
      </c>
      <c r="H380" s="7">
        <f>_xlfn.NORM.DIST('DATA SIAP'!J379,$C$2,$C$3, FALSE)</f>
        <v>7.971264929267137E-2</v>
      </c>
      <c r="I380" s="7">
        <f>_xlfn.NORM.DIST('DATA SIAP'!K379,$D$2,$D$3, FALSE)</f>
        <v>0.12713630690141631</v>
      </c>
      <c r="J380" s="7">
        <f>_xlfn.NORM.DIST('DATA SIAP'!L379,$E$2,$E$3, FALSE)</f>
        <v>1.9644521801806022E-2</v>
      </c>
      <c r="L380" s="7">
        <f>_xlfn.NORM.DIST('DATA SIAP'!I379,$B$5,$B$6, FALSE)</f>
        <v>9.6648490919382037E-4</v>
      </c>
      <c r="M380" s="7">
        <f>_xlfn.NORM.DIST('DATA SIAP'!J379,$C$5,$C$6, FALSE)</f>
        <v>7.7198714394277029E-2</v>
      </c>
      <c r="N380" s="7">
        <f>_xlfn.NORM.DIST('DATA SIAP'!K379,$D$5,$D$6, FALSE)</f>
        <v>0.1547817431068946</v>
      </c>
      <c r="O380" s="7">
        <f>_xlfn.NORM.DIST('DATA SIAP'!L379,$E$5,$E$6, FALSE)</f>
        <v>2.1704000422806548E-2</v>
      </c>
      <c r="T380" s="7">
        <f t="shared" si="16"/>
        <v>2.7712383547421215E-5</v>
      </c>
      <c r="U380" s="7">
        <f t="shared" si="17"/>
        <v>1.1473335149518417E-7</v>
      </c>
      <c r="W380" s="7" t="str">
        <f t="shared" si="18"/>
        <v>ANEMIA</v>
      </c>
    </row>
    <row r="381" spans="7:23" x14ac:dyDescent="0.25">
      <c r="G381" s="7">
        <f>_xlfn.NORM.DIST('DATA SIAP'!I380,$B$2,$B$3, FALSE)</f>
        <v>0.27720518307710384</v>
      </c>
      <c r="H381" s="7">
        <f>_xlfn.NORM.DIST('DATA SIAP'!J380,$C$2,$C$3, FALSE)</f>
        <v>9.5278291185476691E-2</v>
      </c>
      <c r="I381" s="7">
        <f>_xlfn.NORM.DIST('DATA SIAP'!K380,$D$2,$D$3, FALSE)</f>
        <v>0.19482359643262351</v>
      </c>
      <c r="J381" s="7">
        <f>_xlfn.NORM.DIST('DATA SIAP'!L380,$E$2,$E$3, FALSE)</f>
        <v>1.807369001956655E-2</v>
      </c>
      <c r="L381" s="7">
        <f>_xlfn.NORM.DIST('DATA SIAP'!I380,$B$5,$B$6, FALSE)</f>
        <v>1.666151072771268E-3</v>
      </c>
      <c r="M381" s="7">
        <f>_xlfn.NORM.DIST('DATA SIAP'!J380,$C$5,$C$6, FALSE)</f>
        <v>9.0025826669986944E-2</v>
      </c>
      <c r="N381" s="7">
        <f>_xlfn.NORM.DIST('DATA SIAP'!K380,$D$5,$D$6, FALSE)</f>
        <v>0.16449544010737174</v>
      </c>
      <c r="O381" s="7">
        <f>_xlfn.NORM.DIST('DATA SIAP'!L380,$E$5,$E$6, FALSE)</f>
        <v>2.0241879514469457E-2</v>
      </c>
      <c r="T381" s="7">
        <f t="shared" si="16"/>
        <v>5.0429663718617055E-5</v>
      </c>
      <c r="U381" s="7">
        <f t="shared" si="17"/>
        <v>2.2861841339433675E-7</v>
      </c>
      <c r="W381" s="7" t="str">
        <f t="shared" si="18"/>
        <v>SEHAT</v>
      </c>
    </row>
    <row r="382" spans="7:23" x14ac:dyDescent="0.25">
      <c r="G382" s="7">
        <f>_xlfn.NORM.DIST('DATA SIAP'!I381,$B$2,$B$3, FALSE)</f>
        <v>0.11410407611236259</v>
      </c>
      <c r="H382" s="7">
        <f>_xlfn.NORM.DIST('DATA SIAP'!J381,$C$2,$C$3, FALSE)</f>
        <v>3.5974461640923015E-2</v>
      </c>
      <c r="I382" s="7">
        <f>_xlfn.NORM.DIST('DATA SIAP'!K381,$D$2,$D$3, FALSE)</f>
        <v>0.25300927958246416</v>
      </c>
      <c r="J382" s="7">
        <f>_xlfn.NORM.DIST('DATA SIAP'!L381,$E$2,$E$3, FALSE)</f>
        <v>1.7581915684945645E-2</v>
      </c>
      <c r="L382" s="7">
        <f>_xlfn.NORM.DIST('DATA SIAP'!I381,$B$5,$B$6, FALSE)</f>
        <v>0.14260257889943467</v>
      </c>
      <c r="M382" s="7">
        <f>_xlfn.NORM.DIST('DATA SIAP'!J381,$C$5,$C$6, FALSE)</f>
        <v>3.8773416867786056E-2</v>
      </c>
      <c r="N382" s="7">
        <f>_xlfn.NORM.DIST('DATA SIAP'!K381,$D$5,$D$6, FALSE)</f>
        <v>0.27885369204976324</v>
      </c>
      <c r="O382" s="7">
        <f>_xlfn.NORM.DIST('DATA SIAP'!L381,$E$5,$E$6, FALSE)</f>
        <v>1.697932705402716E-2</v>
      </c>
      <c r="T382" s="7">
        <f t="shared" si="16"/>
        <v>9.9014884718860365E-6</v>
      </c>
      <c r="U382" s="7">
        <f t="shared" si="17"/>
        <v>1.1983490585376517E-5</v>
      </c>
      <c r="W382" s="7" t="str">
        <f t="shared" si="18"/>
        <v>ANEMIA</v>
      </c>
    </row>
    <row r="383" spans="7:23" x14ac:dyDescent="0.25">
      <c r="G383" s="7">
        <f>_xlfn.NORM.DIST('DATA SIAP'!I382,$B$2,$B$3, FALSE)</f>
        <v>0.2322678986365366</v>
      </c>
      <c r="H383" s="7">
        <f>_xlfn.NORM.DIST('DATA SIAP'!J382,$C$2,$C$3, FALSE)</f>
        <v>7.971264929267137E-2</v>
      </c>
      <c r="I383" s="7">
        <f>_xlfn.NORM.DIST('DATA SIAP'!K382,$D$2,$D$3, FALSE)</f>
        <v>0.2720499982540398</v>
      </c>
      <c r="J383" s="7">
        <f>_xlfn.NORM.DIST('DATA SIAP'!L382,$E$2,$E$3, FALSE)</f>
        <v>4.3083845919754608E-2</v>
      </c>
      <c r="L383" s="7">
        <f>_xlfn.NORM.DIST('DATA SIAP'!I382,$B$5,$B$6, FALSE)</f>
        <v>5.4583668235364761E-4</v>
      </c>
      <c r="M383" s="7">
        <f>_xlfn.NORM.DIST('DATA SIAP'!J382,$C$5,$C$6, FALSE)</f>
        <v>7.7198714394277029E-2</v>
      </c>
      <c r="N383" s="7">
        <f>_xlfn.NORM.DIST('DATA SIAP'!K382,$D$5,$D$6, FALSE)</f>
        <v>0.26075489413603392</v>
      </c>
      <c r="O383" s="7">
        <f>_xlfn.NORM.DIST('DATA SIAP'!L382,$E$5,$E$6, FALSE)</f>
        <v>4.042020821279519E-2</v>
      </c>
      <c r="T383" s="7">
        <f t="shared" si="16"/>
        <v>1.1767440376876414E-4</v>
      </c>
      <c r="U383" s="7">
        <f t="shared" si="17"/>
        <v>2.0329599064894139E-7</v>
      </c>
      <c r="W383" s="7" t="str">
        <f t="shared" si="18"/>
        <v>SEHAT</v>
      </c>
    </row>
    <row r="384" spans="7:23" x14ac:dyDescent="0.25">
      <c r="G384" s="7">
        <f>_xlfn.NORM.DIST('DATA SIAP'!I383,$B$2,$B$3, FALSE)</f>
        <v>4.0399244277051952E-2</v>
      </c>
      <c r="H384" s="7">
        <f>_xlfn.NORM.DIST('DATA SIAP'!J383,$C$2,$C$3, FALSE)</f>
        <v>9.7226722749690922E-2</v>
      </c>
      <c r="I384" s="7">
        <f>_xlfn.NORM.DIST('DATA SIAP'!K383,$D$2,$D$3, FALSE)</f>
        <v>0.18761229391009854</v>
      </c>
      <c r="J384" s="7">
        <f>_xlfn.NORM.DIST('DATA SIAP'!L383,$E$2,$E$3, FALSE)</f>
        <v>1.023696655722252E-2</v>
      </c>
      <c r="L384" s="7">
        <f>_xlfn.NORM.DIST('DATA SIAP'!I383,$B$5,$B$6, FALSE)</f>
        <v>0.26708356345573886</v>
      </c>
      <c r="M384" s="7">
        <f>_xlfn.NORM.DIST('DATA SIAP'!J383,$C$5,$C$6, FALSE)</f>
        <v>9.1603180839353024E-2</v>
      </c>
      <c r="N384" s="7">
        <f>_xlfn.NORM.DIST('DATA SIAP'!K383,$D$5,$D$6, FALSE)</f>
        <v>0.21939825426614995</v>
      </c>
      <c r="O384" s="7">
        <f>_xlfn.NORM.DIST('DATA SIAP'!L383,$E$5,$E$6, FALSE)</f>
        <v>1.0330413117694301E-2</v>
      </c>
      <c r="T384" s="7">
        <f t="shared" si="16"/>
        <v>4.0906643606495548E-6</v>
      </c>
      <c r="U384" s="7">
        <f t="shared" si="17"/>
        <v>2.5382452713283692E-5</v>
      </c>
      <c r="W384" s="7" t="str">
        <f t="shared" si="18"/>
        <v>SEHAT</v>
      </c>
    </row>
    <row r="385" spans="7:23" x14ac:dyDescent="0.25">
      <c r="G385" s="7">
        <f>_xlfn.NORM.DIST('DATA SIAP'!I384,$B$2,$B$3, FALSE)</f>
        <v>3.386696622565662E-3</v>
      </c>
      <c r="H385" s="7">
        <f>_xlfn.NORM.DIST('DATA SIAP'!J384,$C$2,$C$3, FALSE)</f>
        <v>6.8670628928825472E-2</v>
      </c>
      <c r="I385" s="7">
        <f>_xlfn.NORM.DIST('DATA SIAP'!K384,$D$2,$D$3, FALSE)</f>
        <v>0.27895172274462349</v>
      </c>
      <c r="J385" s="7">
        <f>_xlfn.NORM.DIST('DATA SIAP'!L384,$E$2,$E$3, FALSE)</f>
        <v>3.9441873796276443E-2</v>
      </c>
      <c r="L385" s="7">
        <f>_xlfn.NORM.DIST('DATA SIAP'!I384,$B$5,$B$6, FALSE)</f>
        <v>0.29730086523127114</v>
      </c>
      <c r="M385" s="7">
        <f>_xlfn.NORM.DIST('DATA SIAP'!J384,$C$5,$C$6, FALSE)</f>
        <v>6.7865717849773549E-2</v>
      </c>
      <c r="N385" s="7">
        <f>_xlfn.NORM.DIST('DATA SIAP'!K384,$D$5,$D$6, FALSE)</f>
        <v>0.29358288989759423</v>
      </c>
      <c r="O385" s="7">
        <f>_xlfn.NORM.DIST('DATA SIAP'!L384,$E$5,$E$6, FALSE)</f>
        <v>3.6461773068490452E-2</v>
      </c>
      <c r="T385" s="7">
        <f t="shared" si="16"/>
        <v>1.3875105289267323E-6</v>
      </c>
      <c r="U385" s="7">
        <f t="shared" si="17"/>
        <v>9.8864450655126315E-5</v>
      </c>
      <c r="W385" s="7" t="str">
        <f t="shared" si="18"/>
        <v>SEHAT</v>
      </c>
    </row>
    <row r="386" spans="7:23" x14ac:dyDescent="0.25">
      <c r="G386" s="7">
        <f>_xlfn.NORM.DIST('DATA SIAP'!I385,$B$2,$B$3, FALSE)</f>
        <v>0.1022707770788731</v>
      </c>
      <c r="H386" s="7">
        <f>_xlfn.NORM.DIST('DATA SIAP'!J385,$C$2,$C$3, FALSE)</f>
        <v>3.5809396610237888E-2</v>
      </c>
      <c r="I386" s="7">
        <f>_xlfn.NORM.DIST('DATA SIAP'!K385,$D$2,$D$3, FALSE)</f>
        <v>0.12248570720321851</v>
      </c>
      <c r="J386" s="7">
        <f>_xlfn.NORM.DIST('DATA SIAP'!L385,$E$2,$E$3, FALSE)</f>
        <v>3.9061192146234713E-2</v>
      </c>
      <c r="L386" s="7">
        <f>_xlfn.NORM.DIST('DATA SIAP'!I385,$B$5,$B$6, FALSE)</f>
        <v>0.1578896925069152</v>
      </c>
      <c r="M386" s="7">
        <f>_xlfn.NORM.DIST('DATA SIAP'!J385,$C$5,$C$6, FALSE)</f>
        <v>3.8109906472030129E-2</v>
      </c>
      <c r="N386" s="7">
        <f>_xlfn.NORM.DIST('DATA SIAP'!K385,$D$5,$D$6, FALSE)</f>
        <v>9.2733895700821981E-2</v>
      </c>
      <c r="O386" s="7">
        <f>_xlfn.NORM.DIST('DATA SIAP'!L385,$E$5,$E$6, FALSE)</f>
        <v>3.7976599305601981E-2</v>
      </c>
      <c r="T386" s="7">
        <f t="shared" si="16"/>
        <v>9.5012741119597635E-6</v>
      </c>
      <c r="U386" s="7">
        <f t="shared" si="17"/>
        <v>9.6999892088343843E-6</v>
      </c>
      <c r="W386" s="7" t="str">
        <f t="shared" si="18"/>
        <v>SEHAT</v>
      </c>
    </row>
    <row r="387" spans="7:23" x14ac:dyDescent="0.25">
      <c r="G387" s="7">
        <f>_xlfn.NORM.DIST('DATA SIAP'!I386,$B$2,$B$3, FALSE)</f>
        <v>5.4227430483013976E-2</v>
      </c>
      <c r="H387" s="7">
        <f>_xlfn.NORM.DIST('DATA SIAP'!J386,$C$2,$C$3, FALSE)</f>
        <v>8.1208436893043662E-2</v>
      </c>
      <c r="I387" s="7">
        <f>_xlfn.NORM.DIST('DATA SIAP'!K386,$D$2,$D$3, FALSE)</f>
        <v>0.26561722062877446</v>
      </c>
      <c r="J387" s="7">
        <f>_xlfn.NORM.DIST('DATA SIAP'!L386,$E$2,$E$3, FALSE)</f>
        <v>3.9075756469309733E-2</v>
      </c>
      <c r="L387" s="7">
        <f>_xlfn.NORM.DIST('DATA SIAP'!I386,$B$5,$B$6, FALSE)</f>
        <v>0.23764944520286474</v>
      </c>
      <c r="M387" s="7">
        <f>_xlfn.NORM.DIST('DATA SIAP'!J386,$C$5,$C$6, FALSE)</f>
        <v>7.8447780358726182E-2</v>
      </c>
      <c r="N387" s="7">
        <f>_xlfn.NORM.DIST('DATA SIAP'!K386,$D$5,$D$6, FALSE)</f>
        <v>0.25087690118257733</v>
      </c>
      <c r="O387" s="7">
        <f>_xlfn.NORM.DIST('DATA SIAP'!L386,$E$5,$E$6, FALSE)</f>
        <v>3.6118875637817391E-2</v>
      </c>
      <c r="T387" s="7">
        <f t="shared" ref="T387:T428" si="19">$R$2 * G387 * H387 * I387 * J387</f>
        <v>2.4784843479455354E-5</v>
      </c>
      <c r="U387" s="7">
        <f t="shared" ref="U387:U428" si="20">$R$3 * L387 * M387 * N387 * O387</f>
        <v>7.7328106533388464E-5</v>
      </c>
      <c r="W387" s="7" t="str">
        <f t="shared" si="18"/>
        <v>SEHAT</v>
      </c>
    </row>
    <row r="388" spans="7:23" x14ac:dyDescent="0.25">
      <c r="G388" s="7">
        <f>_xlfn.NORM.DIST('DATA SIAP'!I387,$B$2,$B$3, FALSE)</f>
        <v>1.6629363345762728E-3</v>
      </c>
      <c r="H388" s="7">
        <f>_xlfn.NORM.DIST('DATA SIAP'!J387,$C$2,$C$3, FALSE)</f>
        <v>2.0639112153173694E-2</v>
      </c>
      <c r="I388" s="7">
        <f>_xlfn.NORM.DIST('DATA SIAP'!K387,$D$2,$D$3, FALSE)</f>
        <v>9.470219971360351E-2</v>
      </c>
      <c r="J388" s="7">
        <f>_xlfn.NORM.DIST('DATA SIAP'!L387,$E$2,$E$3, FALSE)</f>
        <v>2.128365048582349E-2</v>
      </c>
      <c r="L388" s="7">
        <f>_xlfn.NORM.DIST('DATA SIAP'!I387,$B$5,$B$6, FALSE)</f>
        <v>0.25957322872828414</v>
      </c>
      <c r="M388" s="7">
        <f>_xlfn.NORM.DIST('DATA SIAP'!J387,$C$5,$C$6, FALSE)</f>
        <v>2.3563564970255586E-2</v>
      </c>
      <c r="N388" s="7">
        <f>_xlfn.NORM.DIST('DATA SIAP'!K387,$D$5,$D$6, FALSE)</f>
        <v>0.1176432423163154</v>
      </c>
      <c r="O388" s="7">
        <f>_xlfn.NORM.DIST('DATA SIAP'!L387,$E$5,$E$6, FALSE)</f>
        <v>2.0266656193038395E-2</v>
      </c>
      <c r="T388" s="7">
        <f t="shared" si="19"/>
        <v>3.7512430139024123E-8</v>
      </c>
      <c r="U388" s="7">
        <f t="shared" si="20"/>
        <v>6.6753646284772019E-6</v>
      </c>
      <c r="W388" s="7" t="str">
        <f t="shared" ref="W388:W427" si="21">IF(T389&gt;U389, "ANEMIA", "SEHAT")</f>
        <v>ANEMIA</v>
      </c>
    </row>
    <row r="389" spans="7:23" x14ac:dyDescent="0.25">
      <c r="G389" s="7">
        <f>_xlfn.NORM.DIST('DATA SIAP'!I388,$B$2,$B$3, FALSE)</f>
        <v>0.30348677398303142</v>
      </c>
      <c r="H389" s="7">
        <f>_xlfn.NORM.DIST('DATA SIAP'!J388,$C$2,$C$3, FALSE)</f>
        <v>4.0009173504538843E-2</v>
      </c>
      <c r="I389" s="7">
        <f>_xlfn.NORM.DIST('DATA SIAP'!K388,$D$2,$D$3, FALSE)</f>
        <v>0.2229162921895402</v>
      </c>
      <c r="J389" s="7">
        <f>_xlfn.NORM.DIST('DATA SIAP'!L388,$E$2,$E$3, FALSE)</f>
        <v>4.2972638481380249E-2</v>
      </c>
      <c r="L389" s="7">
        <f>_xlfn.NORM.DIST('DATA SIAP'!I388,$B$5,$B$6, FALSE)</f>
        <v>5.7836964810562405E-3</v>
      </c>
      <c r="M389" s="7">
        <f>_xlfn.NORM.DIST('DATA SIAP'!J388,$C$5,$C$6, FALSE)</f>
        <v>4.1983625779858522E-2</v>
      </c>
      <c r="N389" s="7">
        <f>_xlfn.NORM.DIST('DATA SIAP'!K388,$D$5,$D$6, FALSE)</f>
        <v>0.25345247760741169</v>
      </c>
      <c r="O389" s="7">
        <f>_xlfn.NORM.DIST('DATA SIAP'!L388,$E$5,$E$6, FALSE)</f>
        <v>4.0105427226059497E-2</v>
      </c>
      <c r="T389" s="7">
        <f t="shared" si="19"/>
        <v>6.3071848653128369E-5</v>
      </c>
      <c r="U389" s="7">
        <f t="shared" si="20"/>
        <v>1.1298222844166512E-6</v>
      </c>
      <c r="W389" s="7" t="str">
        <f t="shared" si="21"/>
        <v>ANEMIA</v>
      </c>
    </row>
    <row r="390" spans="7:23" x14ac:dyDescent="0.25">
      <c r="G390" s="7">
        <f>_xlfn.NORM.DIST('DATA SIAP'!I389,$B$2,$B$3, FALSE)</f>
        <v>0.24788712488480244</v>
      </c>
      <c r="H390" s="7">
        <f>_xlfn.NORM.DIST('DATA SIAP'!J389,$C$2,$C$3, FALSE)</f>
        <v>8.2499914031945329E-2</v>
      </c>
      <c r="I390" s="7">
        <f>_xlfn.NORM.DIST('DATA SIAP'!K389,$D$2,$D$3, FALSE)</f>
        <v>0.1050040661958891</v>
      </c>
      <c r="J390" s="7">
        <f>_xlfn.NORM.DIST('DATA SIAP'!L389,$E$2,$E$3, FALSE)</f>
        <v>1.9115219473705897E-2</v>
      </c>
      <c r="L390" s="7">
        <f>_xlfn.NORM.DIST('DATA SIAP'!I389,$B$5,$B$6, FALSE)</f>
        <v>3.566020423226382E-2</v>
      </c>
      <c r="M390" s="7">
        <f>_xlfn.NORM.DIST('DATA SIAP'!J389,$C$5,$C$6, FALSE)</f>
        <v>7.9034182844746961E-2</v>
      </c>
      <c r="N390" s="7">
        <f>_xlfn.NORM.DIST('DATA SIAP'!K389,$D$5,$D$6, FALSE)</f>
        <v>0.12960993474335217</v>
      </c>
      <c r="O390" s="7">
        <f>_xlfn.NORM.DIST('DATA SIAP'!L389,$E$5,$E$6, FALSE)</f>
        <v>2.1213976632595485E-2</v>
      </c>
      <c r="T390" s="7">
        <f t="shared" si="19"/>
        <v>2.2258467154052566E-5</v>
      </c>
      <c r="U390" s="7">
        <f t="shared" si="20"/>
        <v>3.5471878144000026E-6</v>
      </c>
      <c r="W390" s="7" t="str">
        <f t="shared" si="21"/>
        <v>SEHAT</v>
      </c>
    </row>
    <row r="391" spans="7:23" x14ac:dyDescent="0.25">
      <c r="G391" s="7">
        <f>_xlfn.NORM.DIST('DATA SIAP'!I390,$B$2,$B$3, FALSE)</f>
        <v>3.4567812457190553E-2</v>
      </c>
      <c r="H391" s="7">
        <f>_xlfn.NORM.DIST('DATA SIAP'!J390,$C$2,$C$3, FALSE)</f>
        <v>7.0291797410209786E-2</v>
      </c>
      <c r="I391" s="7">
        <f>_xlfn.NORM.DIST('DATA SIAP'!K390,$D$2,$D$3, FALSE)</f>
        <v>0.27722454854897127</v>
      </c>
      <c r="J391" s="7">
        <f>_xlfn.NORM.DIST('DATA SIAP'!L390,$E$2,$E$3, FALSE)</f>
        <v>4.2889364447375997E-2</v>
      </c>
      <c r="L391" s="7">
        <f>_xlfn.NORM.DIST('DATA SIAP'!I390,$B$5,$B$6, FALSE)</f>
        <v>0.28031571355468393</v>
      </c>
      <c r="M391" s="7">
        <f>_xlfn.NORM.DIST('DATA SIAP'!J390,$C$5,$C$6, FALSE)</f>
        <v>6.9248824946712695E-2</v>
      </c>
      <c r="N391" s="7">
        <f>_xlfn.NORM.DIST('DATA SIAP'!K390,$D$5,$D$6, FALSE)</f>
        <v>0.26955695164547089</v>
      </c>
      <c r="O391" s="7">
        <f>_xlfn.NORM.DIST('DATA SIAP'!L390,$E$5,$E$6, FALSE)</f>
        <v>4.0433264310077932E-2</v>
      </c>
      <c r="T391" s="7">
        <f t="shared" si="19"/>
        <v>1.5666075752046605E-5</v>
      </c>
      <c r="U391" s="7">
        <f t="shared" si="20"/>
        <v>9.6844331445456662E-5</v>
      </c>
      <c r="W391" s="7" t="str">
        <f t="shared" si="21"/>
        <v>ANEMIA</v>
      </c>
    </row>
    <row r="392" spans="7:23" x14ac:dyDescent="0.25">
      <c r="G392" s="7">
        <f>_xlfn.NORM.DIST('DATA SIAP'!I391,$B$2,$B$3, FALSE)</f>
        <v>0.18082757569176874</v>
      </c>
      <c r="H392" s="7">
        <f>_xlfn.NORM.DIST('DATA SIAP'!J391,$C$2,$C$3, FALSE)</f>
        <v>0.10255777641540727</v>
      </c>
      <c r="I392" s="7">
        <f>_xlfn.NORM.DIST('DATA SIAP'!K391,$D$2,$D$3, FALSE)</f>
        <v>0.28106392084554088</v>
      </c>
      <c r="J392" s="7">
        <f>_xlfn.NORM.DIST('DATA SIAP'!L391,$E$2,$E$3, FALSE)</f>
        <v>4.3032461120609641E-2</v>
      </c>
      <c r="L392" s="7">
        <f>_xlfn.NORM.DIST('DATA SIAP'!I391,$B$5,$B$6, FALSE)</f>
        <v>7.752582775334832E-2</v>
      </c>
      <c r="M392" s="7">
        <f>_xlfn.NORM.DIST('DATA SIAP'!J391,$C$5,$C$6, FALSE)</f>
        <v>9.5729268587055869E-2</v>
      </c>
      <c r="N392" s="7">
        <f>_xlfn.NORM.DIST('DATA SIAP'!K391,$D$5,$D$6, FALSE)</f>
        <v>0.27714999836250115</v>
      </c>
      <c r="O392" s="7">
        <f>_xlfn.NORM.DIST('DATA SIAP'!L391,$E$5,$E$6, FALSE)</f>
        <v>4.0204091820371483E-2</v>
      </c>
      <c r="T392" s="7">
        <f t="shared" si="19"/>
        <v>1.2162894011871959E-4</v>
      </c>
      <c r="U392" s="7">
        <f t="shared" si="20"/>
        <v>3.7853086874931197E-5</v>
      </c>
      <c r="W392" s="7" t="str">
        <f t="shared" si="21"/>
        <v>ANEMIA</v>
      </c>
    </row>
    <row r="393" spans="7:23" x14ac:dyDescent="0.25">
      <c r="G393" s="7">
        <f>_xlfn.NORM.DIST('DATA SIAP'!I392,$B$2,$B$3, FALSE)</f>
        <v>0.29782510452911531</v>
      </c>
      <c r="H393" s="7">
        <f>_xlfn.NORM.DIST('DATA SIAP'!J392,$C$2,$C$3, FALSE)</f>
        <v>3.3144951896646423E-2</v>
      </c>
      <c r="I393" s="7">
        <f>_xlfn.NORM.DIST('DATA SIAP'!K392,$D$2,$D$3, FALSE)</f>
        <v>0.11136771953090253</v>
      </c>
      <c r="J393" s="7">
        <f>_xlfn.NORM.DIST('DATA SIAP'!L392,$E$2,$E$3, FALSE)</f>
        <v>4.2845547877225207E-2</v>
      </c>
      <c r="L393" s="7">
        <f>_xlfn.NORM.DIST('DATA SIAP'!I392,$B$5,$B$6, FALSE)</f>
        <v>3.5868964672007074E-3</v>
      </c>
      <c r="M393" s="7">
        <f>_xlfn.NORM.DIST('DATA SIAP'!J392,$C$5,$C$6, FALSE)</f>
        <v>3.5622983840056598E-2</v>
      </c>
      <c r="N393" s="7">
        <f>_xlfn.NORM.DIST('DATA SIAP'!K392,$D$5,$D$6, FALSE)</f>
        <v>8.270172681067138E-2</v>
      </c>
      <c r="O393" s="7">
        <f>_xlfn.NORM.DIST('DATA SIAP'!L392,$E$5,$E$6, FALSE)</f>
        <v>3.9927082812697252E-2</v>
      </c>
      <c r="T393" s="7">
        <f t="shared" si="19"/>
        <v>2.5541482662612513E-5</v>
      </c>
      <c r="U393" s="7">
        <f t="shared" si="20"/>
        <v>1.9313291955854664E-7</v>
      </c>
      <c r="W393" s="7" t="str">
        <f t="shared" si="21"/>
        <v>SEHAT</v>
      </c>
    </row>
    <row r="394" spans="7:23" x14ac:dyDescent="0.25">
      <c r="G394" s="7">
        <f>_xlfn.NORM.DIST('DATA SIAP'!I393,$B$2,$B$3, FALSE)</f>
        <v>2.4872091471151239E-2</v>
      </c>
      <c r="H394" s="7">
        <f>_xlfn.NORM.DIST('DATA SIAP'!J393,$C$2,$C$3, FALSE)</f>
        <v>0.10164799743122459</v>
      </c>
      <c r="I394" s="7">
        <f>_xlfn.NORM.DIST('DATA SIAP'!K393,$D$2,$D$3, FALSE)</f>
        <v>0.28106392084554088</v>
      </c>
      <c r="J394" s="7">
        <f>_xlfn.NORM.DIST('DATA SIAP'!L393,$E$2,$E$3, FALSE)</f>
        <v>9.8522110258389712E-3</v>
      </c>
      <c r="L394" s="7">
        <f>_xlfn.NORM.DIST('DATA SIAP'!I393,$B$5,$B$6, FALSE)</f>
        <v>0.30264828161210117</v>
      </c>
      <c r="M394" s="7">
        <f>_xlfn.NORM.DIST('DATA SIAP'!J393,$C$5,$C$6, FALSE)</f>
        <v>9.5147860262344661E-2</v>
      </c>
      <c r="N394" s="7">
        <f>_xlfn.NORM.DIST('DATA SIAP'!K393,$D$5,$D$6, FALSE)</f>
        <v>0.27714999836250115</v>
      </c>
      <c r="O394" s="7">
        <f>_xlfn.NORM.DIST('DATA SIAP'!L393,$E$5,$E$6, FALSE)</f>
        <v>1.2132405836696347E-2</v>
      </c>
      <c r="T394" s="7">
        <f t="shared" si="19"/>
        <v>3.7962282779007587E-6</v>
      </c>
      <c r="U394" s="7">
        <f t="shared" si="20"/>
        <v>4.432248078521342E-5</v>
      </c>
      <c r="W394" s="7" t="str">
        <f t="shared" si="21"/>
        <v>ANEMIA</v>
      </c>
    </row>
    <row r="395" spans="7:23" x14ac:dyDescent="0.25">
      <c r="G395" s="7">
        <f>_xlfn.NORM.DIST('DATA SIAP'!I394,$B$2,$B$3, FALSE)</f>
        <v>0.30216375232280629</v>
      </c>
      <c r="H395" s="7">
        <f>_xlfn.NORM.DIST('DATA SIAP'!J394,$C$2,$C$3, FALSE)</f>
        <v>0.10298716609708776</v>
      </c>
      <c r="I395" s="7">
        <f>_xlfn.NORM.DIST('DATA SIAP'!K394,$D$2,$D$3, FALSE)</f>
        <v>0.20677634266355821</v>
      </c>
      <c r="J395" s="7">
        <f>_xlfn.NORM.DIST('DATA SIAP'!L394,$E$2,$E$3, FALSE)</f>
        <v>1.4195599504595586E-2</v>
      </c>
      <c r="L395" s="7">
        <f>_xlfn.NORM.DIST('DATA SIAP'!I394,$B$5,$B$6, FALSE)</f>
        <v>9.0798586436414176E-3</v>
      </c>
      <c r="M395" s="7">
        <f>_xlfn.NORM.DIST('DATA SIAP'!J394,$C$5,$C$6, FALSE)</f>
        <v>9.6202969642376596E-2</v>
      </c>
      <c r="N395" s="7">
        <f>_xlfn.NORM.DIST('DATA SIAP'!K394,$D$5,$D$6, FALSE)</f>
        <v>0.17758313678314452</v>
      </c>
      <c r="O395" s="7">
        <f>_xlfn.NORM.DIST('DATA SIAP'!L394,$E$5,$E$6, FALSE)</f>
        <v>1.3941410677921495E-2</v>
      </c>
      <c r="T395" s="7">
        <f t="shared" si="19"/>
        <v>4.9531609615579294E-5</v>
      </c>
      <c r="U395" s="7">
        <f t="shared" si="20"/>
        <v>9.8992210350682478E-7</v>
      </c>
      <c r="W395" s="7" t="str">
        <f t="shared" si="21"/>
        <v>ANEMIA</v>
      </c>
    </row>
    <row r="396" spans="7:23" x14ac:dyDescent="0.25">
      <c r="G396" s="7">
        <f>_xlfn.NORM.DIST('DATA SIAP'!I395,$B$2,$B$3, FALSE)</f>
        <v>0.12657029558409025</v>
      </c>
      <c r="H396" s="7">
        <f>_xlfn.NORM.DIST('DATA SIAP'!J395,$C$2,$C$3, FALSE)</f>
        <v>9.9626302715364698E-2</v>
      </c>
      <c r="I396" s="7">
        <f>_xlfn.NORM.DIST('DATA SIAP'!K395,$D$2,$D$3, FALSE)</f>
        <v>0.25300927958246416</v>
      </c>
      <c r="J396" s="7">
        <f>_xlfn.NORM.DIST('DATA SIAP'!L395,$E$2,$E$3, FALSE)</f>
        <v>3.809738784768657E-2</v>
      </c>
      <c r="L396" s="7">
        <f>_xlfn.NORM.DIST('DATA SIAP'!I395,$B$5,$B$6, FALSE)</f>
        <v>0.12793745743646967</v>
      </c>
      <c r="M396" s="7">
        <f>_xlfn.NORM.DIST('DATA SIAP'!J395,$C$5,$C$6, FALSE)</f>
        <v>9.3289747714858401E-2</v>
      </c>
      <c r="N396" s="7">
        <f>_xlfn.NORM.DIST('DATA SIAP'!K395,$D$5,$D$6, FALSE)</f>
        <v>0.27885369204976324</v>
      </c>
      <c r="O396" s="7">
        <f>_xlfn.NORM.DIST('DATA SIAP'!L395,$E$5,$E$6, FALSE)</f>
        <v>3.5212258333879219E-2</v>
      </c>
      <c r="T396" s="7">
        <f t="shared" si="19"/>
        <v>6.5908258692718661E-5</v>
      </c>
      <c r="U396" s="7">
        <f t="shared" si="20"/>
        <v>5.3644712825795667E-5</v>
      </c>
      <c r="W396" s="7" t="str">
        <f t="shared" si="21"/>
        <v>SEHAT</v>
      </c>
    </row>
    <row r="397" spans="7:23" x14ac:dyDescent="0.25">
      <c r="G397" s="7">
        <f>_xlfn.NORM.DIST('DATA SIAP'!I396,$B$2,$B$3, FALSE)</f>
        <v>5.2858549075253704E-3</v>
      </c>
      <c r="H397" s="7">
        <f>_xlfn.NORM.DIST('DATA SIAP'!J396,$C$2,$C$3, FALSE)</f>
        <v>8.3941085230960333E-2</v>
      </c>
      <c r="I397" s="7">
        <f>_xlfn.NORM.DIST('DATA SIAP'!K396,$D$2,$D$3, FALSE)</f>
        <v>0.24378919066312044</v>
      </c>
      <c r="J397" s="7">
        <f>_xlfn.NORM.DIST('DATA SIAP'!L396,$E$2,$E$3, FALSE)</f>
        <v>1.0050594748312996E-2</v>
      </c>
      <c r="L397" s="7">
        <f>_xlfn.NORM.DIST('DATA SIAP'!I396,$B$5,$B$6, FALSE)</f>
        <v>0.31475359474046671</v>
      </c>
      <c r="M397" s="7">
        <f>_xlfn.NORM.DIST('DATA SIAP'!J396,$C$5,$C$6, FALSE)</f>
        <v>8.0243081858341558E-2</v>
      </c>
      <c r="N397" s="7">
        <f>_xlfn.NORM.DIST('DATA SIAP'!K396,$D$5,$D$6, FALSE)</f>
        <v>0.27158357669282918</v>
      </c>
      <c r="O397" s="7">
        <f>_xlfn.NORM.DIST('DATA SIAP'!L396,$E$5,$E$6, FALSE)</f>
        <v>1.0158254708382988E-2</v>
      </c>
      <c r="T397" s="7">
        <f t="shared" si="19"/>
        <v>5.8951981341580605E-7</v>
      </c>
      <c r="U397" s="7">
        <f t="shared" si="20"/>
        <v>3.1895242824090071E-5</v>
      </c>
      <c r="W397" s="7" t="str">
        <f t="shared" si="21"/>
        <v>ANEMIA</v>
      </c>
    </row>
    <row r="398" spans="7:23" x14ac:dyDescent="0.25">
      <c r="G398" s="7">
        <f>_xlfn.NORM.DIST('DATA SIAP'!I397,$B$2,$B$3, FALSE)</f>
        <v>0.18082757569176874</v>
      </c>
      <c r="H398" s="7">
        <f>_xlfn.NORM.DIST('DATA SIAP'!J397,$C$2,$C$3, FALSE)</f>
        <v>7.0095800873473543E-2</v>
      </c>
      <c r="I398" s="7">
        <f>_xlfn.NORM.DIST('DATA SIAP'!K397,$D$2,$D$3, FALSE)</f>
        <v>8.497760258572655E-2</v>
      </c>
      <c r="J398" s="7">
        <f>_xlfn.NORM.DIST('DATA SIAP'!L397,$E$2,$E$3, FALSE)</f>
        <v>3.6343545398905885E-2</v>
      </c>
      <c r="L398" s="7">
        <f>_xlfn.NORM.DIST('DATA SIAP'!I397,$B$5,$B$6, FALSE)</f>
        <v>7.752582775334832E-2</v>
      </c>
      <c r="M398" s="7">
        <f>_xlfn.NORM.DIST('DATA SIAP'!J397,$C$5,$C$6, FALSE)</f>
        <v>6.8526910025946658E-2</v>
      </c>
      <c r="N398" s="7">
        <f>_xlfn.NORM.DIST('DATA SIAP'!K397,$D$5,$D$6, FALSE)</f>
        <v>0.10620426432269754</v>
      </c>
      <c r="O398" s="7">
        <f>_xlfn.NORM.DIST('DATA SIAP'!L397,$E$5,$E$6, FALSE)</f>
        <v>3.5924904940867995E-2</v>
      </c>
      <c r="T398" s="7">
        <f t="shared" si="19"/>
        <v>2.1227106983137713E-5</v>
      </c>
      <c r="U398" s="7">
        <f t="shared" si="20"/>
        <v>9.278337289350048E-6</v>
      </c>
      <c r="W398" s="7" t="str">
        <f t="shared" si="21"/>
        <v>SEHAT</v>
      </c>
    </row>
    <row r="399" spans="7:23" x14ac:dyDescent="0.25">
      <c r="G399" s="7">
        <f>_xlfn.NORM.DIST('DATA SIAP'!I398,$B$2,$B$3, FALSE)</f>
        <v>2.9407058498165824E-2</v>
      </c>
      <c r="H399" s="7">
        <f>_xlfn.NORM.DIST('DATA SIAP'!J398,$C$2,$C$3, FALSE)</f>
        <v>4.1637046730842078E-2</v>
      </c>
      <c r="I399" s="7">
        <f>_xlfn.NORM.DIST('DATA SIAP'!K398,$D$2,$D$3, FALSE)</f>
        <v>0.24378919066312044</v>
      </c>
      <c r="J399" s="7">
        <f>_xlfn.NORM.DIST('DATA SIAP'!L398,$E$2,$E$3, FALSE)</f>
        <v>2.993152182376798E-2</v>
      </c>
      <c r="L399" s="7">
        <f>_xlfn.NORM.DIST('DATA SIAP'!I398,$B$5,$B$6, FALSE)</f>
        <v>0.29224323073070041</v>
      </c>
      <c r="M399" s="7">
        <f>_xlfn.NORM.DIST('DATA SIAP'!J398,$C$5,$C$6, FALSE)</f>
        <v>4.4009140975046282E-2</v>
      </c>
      <c r="N399" s="7">
        <f>_xlfn.NORM.DIST('DATA SIAP'!K398,$D$5,$D$6, FALSE)</f>
        <v>0.27158357669282918</v>
      </c>
      <c r="O399" s="7">
        <f>_xlfn.NORM.DIST('DATA SIAP'!L398,$E$5,$E$6, FALSE)</f>
        <v>3.0746780377143922E-2</v>
      </c>
      <c r="T399" s="7">
        <f t="shared" si="19"/>
        <v>4.8448142203885112E-6</v>
      </c>
      <c r="U399" s="7">
        <f t="shared" si="20"/>
        <v>4.9160411943185825E-5</v>
      </c>
      <c r="W399" s="7" t="str">
        <f t="shared" si="21"/>
        <v>ANEMIA</v>
      </c>
    </row>
    <row r="400" spans="7:23" x14ac:dyDescent="0.25">
      <c r="G400" s="7">
        <f>_xlfn.NORM.DIST('DATA SIAP'!I399,$B$2,$B$3, FALSE)</f>
        <v>0.13632881677636685</v>
      </c>
      <c r="H400" s="7">
        <f>_xlfn.NORM.DIST('DATA SIAP'!J399,$C$2,$C$3, FALSE)</f>
        <v>4.3113741029001576E-2</v>
      </c>
      <c r="I400" s="7">
        <f>_xlfn.NORM.DIST('DATA SIAP'!K399,$D$2,$D$3, FALSE)</f>
        <v>9.470219971360351E-2</v>
      </c>
      <c r="J400" s="7">
        <f>_xlfn.NORM.DIST('DATA SIAP'!L399,$E$2,$E$3, FALSE)</f>
        <v>1.4890171738751658E-2</v>
      </c>
      <c r="L400" s="7">
        <f>_xlfn.NORM.DIST('DATA SIAP'!I399,$B$5,$B$6, FALSE)</f>
        <v>5.9861366178646597E-5</v>
      </c>
      <c r="M400" s="7">
        <f>_xlfn.NORM.DIST('DATA SIAP'!J399,$C$5,$C$6, FALSE)</f>
        <v>4.5358148765289756E-2</v>
      </c>
      <c r="N400" s="7">
        <f>_xlfn.NORM.DIST('DATA SIAP'!K399,$D$5,$D$6, FALSE)</f>
        <v>0.1176432423163154</v>
      </c>
      <c r="O400" s="7">
        <f>_xlfn.NORM.DIST('DATA SIAP'!L399,$E$5,$E$6, FALSE)</f>
        <v>1.4567643706980436E-2</v>
      </c>
      <c r="T400" s="7">
        <f t="shared" si="19"/>
        <v>4.4943359069806261E-6</v>
      </c>
      <c r="U400" s="7">
        <f t="shared" si="20"/>
        <v>2.1300179043069485E-9</v>
      </c>
      <c r="W400" s="7" t="str">
        <f t="shared" si="21"/>
        <v>ANEMIA</v>
      </c>
    </row>
    <row r="401" spans="7:23" x14ac:dyDescent="0.25">
      <c r="G401" s="7">
        <f>_xlfn.NORM.DIST('DATA SIAP'!I400,$B$2,$B$3, FALSE)</f>
        <v>0.29247827880955168</v>
      </c>
      <c r="H401" s="7">
        <f>_xlfn.NORM.DIST('DATA SIAP'!J400,$C$2,$C$3, FALSE)</f>
        <v>0.10034169202848009</v>
      </c>
      <c r="I401" s="7">
        <f>_xlfn.NORM.DIST('DATA SIAP'!K400,$D$2,$D$3, FALSE)</f>
        <v>0.26561722062877446</v>
      </c>
      <c r="J401" s="7">
        <f>_xlfn.NORM.DIST('DATA SIAP'!L400,$E$2,$E$3, FALSE)</f>
        <v>9.1388248558174848E-3</v>
      </c>
      <c r="L401" s="7">
        <f>_xlfn.NORM.DIST('DATA SIAP'!I400,$B$5,$B$6, FALSE)</f>
        <v>2.7965373107455933E-3</v>
      </c>
      <c r="M401" s="7">
        <f>_xlfn.NORM.DIST('DATA SIAP'!J400,$C$5,$C$6, FALSE)</f>
        <v>9.3883204056385783E-2</v>
      </c>
      <c r="N401" s="7">
        <f>_xlfn.NORM.DIST('DATA SIAP'!K400,$D$5,$D$6, FALSE)</f>
        <v>0.25087690118257733</v>
      </c>
      <c r="O401" s="7">
        <f>_xlfn.NORM.DIST('DATA SIAP'!L400,$E$5,$E$6, FALSE)</f>
        <v>1.1382888204808405E-2</v>
      </c>
      <c r="T401" s="7">
        <f t="shared" si="19"/>
        <v>3.8629937139020369E-5</v>
      </c>
      <c r="U401" s="7">
        <f t="shared" si="20"/>
        <v>3.4319952667822905E-7</v>
      </c>
      <c r="W401" s="7" t="str">
        <f t="shared" si="21"/>
        <v>ANEMIA</v>
      </c>
    </row>
    <row r="402" spans="7:23" x14ac:dyDescent="0.25">
      <c r="G402" s="7">
        <f>_xlfn.NORM.DIST('DATA SIAP'!I401,$B$2,$B$3, FALSE)</f>
        <v>0.16684373170249162</v>
      </c>
      <c r="H402" s="7">
        <f>_xlfn.NORM.DIST('DATA SIAP'!J401,$C$2,$C$3, FALSE)</f>
        <v>4.1459616634851038E-2</v>
      </c>
      <c r="I402" s="7">
        <f>_xlfn.NORM.DIST('DATA SIAP'!K401,$D$2,$D$3, FALSE)</f>
        <v>0.16303965166659332</v>
      </c>
      <c r="J402" s="7">
        <f>_xlfn.NORM.DIST('DATA SIAP'!L401,$E$2,$E$3, FALSE)</f>
        <v>2.0199987083146353E-2</v>
      </c>
      <c r="L402" s="7">
        <f>_xlfn.NORM.DIST('DATA SIAP'!I401,$B$5,$B$6, FALSE)</f>
        <v>8.8754245198698567E-2</v>
      </c>
      <c r="M402" s="7">
        <f>_xlfn.NORM.DIST('DATA SIAP'!J401,$C$5,$C$6, FALSE)</f>
        <v>4.3309397521866216E-2</v>
      </c>
      <c r="N402" s="7">
        <f>_xlfn.NORM.DIST('DATA SIAP'!K401,$D$5,$D$6, FALSE)</f>
        <v>0.19394963457395645</v>
      </c>
      <c r="O402" s="7">
        <f>_xlfn.NORM.DIST('DATA SIAP'!L401,$E$5,$E$6, FALSE)</f>
        <v>1.9306996133093141E-2</v>
      </c>
      <c r="T402" s="7">
        <f t="shared" si="19"/>
        <v>1.2353268705920136E-5</v>
      </c>
      <c r="U402" s="7">
        <f t="shared" si="20"/>
        <v>6.5887035086563605E-6</v>
      </c>
      <c r="W402" s="7" t="str">
        <f t="shared" si="21"/>
        <v>ANEMIA</v>
      </c>
    </row>
    <row r="403" spans="7:23" x14ac:dyDescent="0.25">
      <c r="G403" s="7">
        <f>_xlfn.NORM.DIST('DATA SIAP'!I402,$B$2,$B$3, FALSE)</f>
        <v>0.21902250053629846</v>
      </c>
      <c r="H403" s="7">
        <f>_xlfn.NORM.DIST('DATA SIAP'!J402,$C$2,$C$3, FALSE)</f>
        <v>0.10294488609851993</v>
      </c>
      <c r="I403" s="7">
        <f>_xlfn.NORM.DIST('DATA SIAP'!K402,$D$2,$D$3, FALSE)</f>
        <v>0.19482359643262351</v>
      </c>
      <c r="J403" s="7">
        <f>_xlfn.NORM.DIST('DATA SIAP'!L402,$E$2,$E$3, FALSE)</f>
        <v>3.1857323694058311E-2</v>
      </c>
      <c r="L403" s="7">
        <f>_xlfn.NORM.DIST('DATA SIAP'!I402,$B$5,$B$6, FALSE)</f>
        <v>4.061080910159737E-4</v>
      </c>
      <c r="M403" s="7">
        <f>_xlfn.NORM.DIST('DATA SIAP'!J402,$C$5,$C$6, FALSE)</f>
        <v>9.6054822864921827E-2</v>
      </c>
      <c r="N403" s="7">
        <f>_xlfn.NORM.DIST('DATA SIAP'!K402,$D$5,$D$6, FALSE)</f>
        <v>0.16449544010737174</v>
      </c>
      <c r="O403" s="7">
        <f>_xlfn.NORM.DIST('DATA SIAP'!L402,$E$5,$E$6, FALSE)</f>
        <v>2.9599791429928198E-2</v>
      </c>
      <c r="T403" s="7">
        <f t="shared" si="19"/>
        <v>7.5883391978090901E-5</v>
      </c>
      <c r="U403" s="7">
        <f t="shared" si="20"/>
        <v>8.6941743344708045E-8</v>
      </c>
      <c r="W403" s="7" t="str">
        <f t="shared" si="21"/>
        <v>SEHAT</v>
      </c>
    </row>
    <row r="404" spans="7:23" x14ac:dyDescent="0.25">
      <c r="G404" s="7">
        <f>_xlfn.NORM.DIST('DATA SIAP'!I403,$B$2,$B$3, FALSE)</f>
        <v>3.4567812457190553E-2</v>
      </c>
      <c r="H404" s="7">
        <f>_xlfn.NORM.DIST('DATA SIAP'!J403,$C$2,$C$3, FALSE)</f>
        <v>7.6647270249064217E-2</v>
      </c>
      <c r="I404" s="7">
        <f>_xlfn.NORM.DIST('DATA SIAP'!K403,$D$2,$D$3, FALSE)</f>
        <v>0.23978470508171501</v>
      </c>
      <c r="J404" s="7">
        <f>_xlfn.NORM.DIST('DATA SIAP'!L403,$E$2,$E$3, FALSE)</f>
        <v>4.058919006700671E-2</v>
      </c>
      <c r="L404" s="7">
        <f>_xlfn.NORM.DIST('DATA SIAP'!I403,$B$5,$B$6, FALSE)</f>
        <v>0.28031571355468393</v>
      </c>
      <c r="M404" s="7">
        <f>_xlfn.NORM.DIST('DATA SIAP'!J403,$C$5,$C$6, FALSE)</f>
        <v>7.4627888572517412E-2</v>
      </c>
      <c r="N404" s="7">
        <f>_xlfn.NORM.DIST('DATA SIAP'!K403,$D$5,$D$6, FALSE)</f>
        <v>0.21628328516595105</v>
      </c>
      <c r="O404" s="7">
        <f>_xlfn.NORM.DIST('DATA SIAP'!L403,$E$5,$E$6, FALSE)</f>
        <v>3.9065566330239714E-2</v>
      </c>
      <c r="T404" s="7">
        <f t="shared" si="19"/>
        <v>1.3983079706666661E-5</v>
      </c>
      <c r="U404" s="7">
        <f t="shared" si="20"/>
        <v>8.0907855910741319E-5</v>
      </c>
      <c r="W404" s="7" t="str">
        <f t="shared" si="21"/>
        <v>ANEMIA</v>
      </c>
    </row>
    <row r="405" spans="7:23" x14ac:dyDescent="0.25">
      <c r="G405" s="7">
        <f>_xlfn.NORM.DIST('DATA SIAP'!I404,$B$2,$B$3, FALSE)</f>
        <v>0.29394703936942013</v>
      </c>
      <c r="H405" s="7">
        <f>_xlfn.NORM.DIST('DATA SIAP'!J404,$C$2,$C$3, FALSE)</f>
        <v>9.8116065219616064E-2</v>
      </c>
      <c r="I405" s="7">
        <f>_xlfn.NORM.DIST('DATA SIAP'!K404,$D$2,$D$3, FALSE)</f>
        <v>8.1193976727337386E-2</v>
      </c>
      <c r="J405" s="7">
        <f>_xlfn.NORM.DIST('DATA SIAP'!L404,$E$2,$E$3, FALSE)</f>
        <v>1.35019005380651E-2</v>
      </c>
      <c r="L405" s="7">
        <f>_xlfn.NORM.DIST('DATA SIAP'!I404,$B$5,$B$6, FALSE)</f>
        <v>1.3878407083089302E-2</v>
      </c>
      <c r="M405" s="7">
        <f>_xlfn.NORM.DIST('DATA SIAP'!J404,$C$5,$C$6, FALSE)</f>
        <v>9.2320555239639973E-2</v>
      </c>
      <c r="N405" s="7">
        <f>_xlfn.NORM.DIST('DATA SIAP'!K404,$D$5,$D$6, FALSE)</f>
        <v>5.6783277125935824E-2</v>
      </c>
      <c r="O405" s="7">
        <f>_xlfn.NORM.DIST('DATA SIAP'!L404,$E$5,$E$6, FALSE)</f>
        <v>1.5839102148874656E-2</v>
      </c>
      <c r="T405" s="7">
        <f t="shared" si="19"/>
        <v>1.7144716637850469E-5</v>
      </c>
      <c r="U405" s="7">
        <f t="shared" si="20"/>
        <v>5.2748978657258425E-7</v>
      </c>
      <c r="W405" s="7" t="str">
        <f t="shared" si="21"/>
        <v>ANEMIA</v>
      </c>
    </row>
    <row r="406" spans="7:23" x14ac:dyDescent="0.25">
      <c r="G406" s="7">
        <f>_xlfn.NORM.DIST('DATA SIAP'!I405,$B$2,$B$3, FALSE)</f>
        <v>0.16684373170249162</v>
      </c>
      <c r="H406" s="7">
        <f>_xlfn.NORM.DIST('DATA SIAP'!J405,$C$2,$C$3, FALSE)</f>
        <v>8.5517974112032574E-2</v>
      </c>
      <c r="I406" s="7">
        <f>_xlfn.NORM.DIST('DATA SIAP'!K405,$D$2,$D$3, FALSE)</f>
        <v>0.15805433943805822</v>
      </c>
      <c r="J406" s="7">
        <f>_xlfn.NORM.DIST('DATA SIAP'!L405,$E$2,$E$3, FALSE)</f>
        <v>4.2096408314624648E-2</v>
      </c>
      <c r="L406" s="7">
        <f>_xlfn.NORM.DIST('DATA SIAP'!I405,$B$5,$B$6, FALSE)</f>
        <v>8.8754245198698567E-2</v>
      </c>
      <c r="M406" s="7">
        <f>_xlfn.NORM.DIST('DATA SIAP'!J405,$C$5,$C$6, FALSE)</f>
        <v>8.2027027980283176E-2</v>
      </c>
      <c r="N406" s="7">
        <f>_xlfn.NORM.DIST('DATA SIAP'!K405,$D$5,$D$6, FALSE)</f>
        <v>0.12655751590758546</v>
      </c>
      <c r="O406" s="7">
        <f>_xlfn.NORM.DIST('DATA SIAP'!L405,$E$5,$E$6, FALSE)</f>
        <v>4.0044095992728616E-2</v>
      </c>
      <c r="T406" s="7">
        <f t="shared" si="19"/>
        <v>5.1477938536237709E-5</v>
      </c>
      <c r="U406" s="7">
        <f t="shared" si="20"/>
        <v>1.6888752030413716E-5</v>
      </c>
      <c r="W406" s="7" t="str">
        <f t="shared" si="21"/>
        <v>ANEMIA</v>
      </c>
    </row>
    <row r="407" spans="7:23" x14ac:dyDescent="0.25">
      <c r="G407" s="7">
        <f>_xlfn.NORM.DIST('DATA SIAP'!I406,$B$2,$B$3, FALSE)</f>
        <v>0.14969315057709329</v>
      </c>
      <c r="H407" s="7">
        <f>_xlfn.NORM.DIST('DATA SIAP'!J406,$C$2,$C$3, FALSE)</f>
        <v>5.239035074725458E-2</v>
      </c>
      <c r="I407" s="7">
        <f>_xlfn.NORM.DIST('DATA SIAP'!K406,$D$2,$D$3, FALSE)</f>
        <v>0.12713630690141631</v>
      </c>
      <c r="J407" s="7">
        <f>_xlfn.NORM.DIST('DATA SIAP'!L406,$E$2,$E$3, FALSE)</f>
        <v>1.2861556934005956E-2</v>
      </c>
      <c r="L407" s="7">
        <f>_xlfn.NORM.DIST('DATA SIAP'!I406,$B$5,$B$6, FALSE)</f>
        <v>8.3750476964686594E-5</v>
      </c>
      <c r="M407" s="7">
        <f>_xlfn.NORM.DIST('DATA SIAP'!J406,$C$5,$C$6, FALSE)</f>
        <v>5.3697713120298272E-2</v>
      </c>
      <c r="N407" s="7">
        <f>_xlfn.NORM.DIST('DATA SIAP'!K406,$D$5,$D$6, FALSE)</f>
        <v>0.1547817431068946</v>
      </c>
      <c r="O407" s="7">
        <f>_xlfn.NORM.DIST('DATA SIAP'!L406,$E$5,$E$6, FALSE)</f>
        <v>1.2733151007842723E-2</v>
      </c>
      <c r="T407" s="7">
        <f t="shared" si="19"/>
        <v>6.9537448632121833E-6</v>
      </c>
      <c r="U407" s="7">
        <f t="shared" si="20"/>
        <v>4.057174754940178E-9</v>
      </c>
      <c r="W407" s="7" t="str">
        <f t="shared" si="21"/>
        <v>ANEMIA</v>
      </c>
    </row>
    <row r="408" spans="7:23" x14ac:dyDescent="0.25">
      <c r="G408" s="7">
        <f>_xlfn.NORM.DIST('DATA SIAP'!I407,$B$2,$B$3, FALSE)</f>
        <v>0.29889263344341388</v>
      </c>
      <c r="H408" s="7">
        <f>_xlfn.NORM.DIST('DATA SIAP'!J407,$C$2,$C$3, FALSE)</f>
        <v>9.8946481219223462E-2</v>
      </c>
      <c r="I408" s="7">
        <f>_xlfn.NORM.DIST('DATA SIAP'!K407,$D$2,$D$3, FALSE)</f>
        <v>0.26124555659402876</v>
      </c>
      <c r="J408" s="7">
        <f>_xlfn.NORM.DIST('DATA SIAP'!L407,$E$2,$E$3, FALSE)</f>
        <v>1.7837037512864518E-2</v>
      </c>
      <c r="L408" s="7">
        <f>_xlfn.NORM.DIST('DATA SIAP'!I407,$B$5,$B$6, FALSE)</f>
        <v>1.1263179024492209E-2</v>
      </c>
      <c r="M408" s="7">
        <f>_xlfn.NORM.DIST('DATA SIAP'!J407,$C$5,$C$6, FALSE)</f>
        <v>9.298873747079453E-2</v>
      </c>
      <c r="N408" s="7">
        <f>_xlfn.NORM.DIST('DATA SIAP'!K407,$D$5,$D$6, FALSE)</f>
        <v>0.28477087548562913</v>
      </c>
      <c r="O408" s="7">
        <f>_xlfn.NORM.DIST('DATA SIAP'!L407,$E$5,$E$6, FALSE)</f>
        <v>1.7206828852316274E-2</v>
      </c>
      <c r="T408" s="7">
        <f t="shared" si="19"/>
        <v>7.472907122702178E-5</v>
      </c>
      <c r="U408" s="7">
        <f t="shared" si="20"/>
        <v>2.3491608801984305E-6</v>
      </c>
      <c r="W408" s="7" t="str">
        <f t="shared" si="21"/>
        <v>ANEMIA</v>
      </c>
    </row>
    <row r="409" spans="7:23" x14ac:dyDescent="0.25">
      <c r="G409" s="7">
        <f>_xlfn.NORM.DIST('DATA SIAP'!I408,$B$2,$B$3, FALSE)</f>
        <v>0.22233874452586838</v>
      </c>
      <c r="H409" s="7">
        <f>_xlfn.NORM.DIST('DATA SIAP'!J408,$C$2,$C$3, FALSE)</f>
        <v>9.6161656224035566E-2</v>
      </c>
      <c r="I409" s="7">
        <f>_xlfn.NORM.DIST('DATA SIAP'!K408,$D$2,$D$3, FALSE)</f>
        <v>0.28106392084554088</v>
      </c>
      <c r="J409" s="7">
        <f>_xlfn.NORM.DIST('DATA SIAP'!L408,$E$2,$E$3, FALSE)</f>
        <v>4.1432634984555732E-2</v>
      </c>
      <c r="L409" s="7">
        <f>_xlfn.NORM.DIST('DATA SIAP'!I408,$B$5,$B$6, FALSE)</f>
        <v>4.9636214724807858E-2</v>
      </c>
      <c r="M409" s="7">
        <f>_xlfn.NORM.DIST('DATA SIAP'!J408,$C$5,$C$6, FALSE)</f>
        <v>9.0418829930510661E-2</v>
      </c>
      <c r="N409" s="7">
        <f>_xlfn.NORM.DIST('DATA SIAP'!K408,$D$5,$D$6, FALSE)</f>
        <v>0.27714999836250115</v>
      </c>
      <c r="O409" s="7">
        <f>_xlfn.NORM.DIST('DATA SIAP'!L408,$E$5,$E$6, FALSE)</f>
        <v>3.8384615582970107E-2</v>
      </c>
      <c r="T409" s="7">
        <f t="shared" si="19"/>
        <v>1.3501036731770674E-4</v>
      </c>
      <c r="U409" s="7">
        <f t="shared" si="20"/>
        <v>2.1855191969071891E-5</v>
      </c>
      <c r="W409" s="7" t="str">
        <f t="shared" si="21"/>
        <v>SEHAT</v>
      </c>
    </row>
    <row r="410" spans="7:23" x14ac:dyDescent="0.25">
      <c r="G410" s="7">
        <f>_xlfn.NORM.DIST('DATA SIAP'!I409,$B$2,$B$3, FALSE)</f>
        <v>7.1119540327410455E-2</v>
      </c>
      <c r="H410" s="7">
        <f>_xlfn.NORM.DIST('DATA SIAP'!J409,$C$2,$C$3, FALSE)</f>
        <v>2.5859294948494115E-2</v>
      </c>
      <c r="I410" s="7">
        <f>_xlfn.NORM.DIST('DATA SIAP'!K409,$D$2,$D$3, FALSE)</f>
        <v>0.27895172274462349</v>
      </c>
      <c r="J410" s="7">
        <f>_xlfn.NORM.DIST('DATA SIAP'!L409,$E$2,$E$3, FALSE)</f>
        <v>2.741750219499706E-2</v>
      </c>
      <c r="L410" s="7">
        <f>_xlfn.NORM.DIST('DATA SIAP'!I409,$B$5,$B$6, FALSE)</f>
        <v>0.2058796345211516</v>
      </c>
      <c r="M410" s="7">
        <f>_xlfn.NORM.DIST('DATA SIAP'!J409,$C$5,$C$6, FALSE)</f>
        <v>2.8685715648412768E-2</v>
      </c>
      <c r="N410" s="7">
        <f>_xlfn.NORM.DIST('DATA SIAP'!K409,$D$5,$D$6, FALSE)</f>
        <v>0.29358288989759423</v>
      </c>
      <c r="O410" s="7">
        <f>_xlfn.NORM.DIST('DATA SIAP'!L409,$E$5,$E$6, FALSE)</f>
        <v>2.8617591157187233E-2</v>
      </c>
      <c r="T410" s="7">
        <f t="shared" si="19"/>
        <v>7.6271965164113269E-6</v>
      </c>
      <c r="U410" s="7">
        <f t="shared" si="20"/>
        <v>2.2712655098546433E-5</v>
      </c>
      <c r="W410" s="7" t="str">
        <f t="shared" si="21"/>
        <v>SEHAT</v>
      </c>
    </row>
    <row r="411" spans="7:23" x14ac:dyDescent="0.25">
      <c r="G411" s="7">
        <f>_xlfn.NORM.DIST('DATA SIAP'!I410,$B$2,$B$3, FALSE)</f>
        <v>1.2010622387859344E-2</v>
      </c>
      <c r="H411" s="7">
        <f>_xlfn.NORM.DIST('DATA SIAP'!J410,$C$2,$C$3, FALSE)</f>
        <v>0.10099376942535292</v>
      </c>
      <c r="I411" s="7">
        <f>_xlfn.NORM.DIST('DATA SIAP'!K410,$D$2,$D$3, FALSE)</f>
        <v>7.5864629322429281E-2</v>
      </c>
      <c r="J411" s="7">
        <f>_xlfn.NORM.DIST('DATA SIAP'!L410,$E$2,$E$3, FALSE)</f>
        <v>4.2452339142285161E-2</v>
      </c>
      <c r="L411" s="7">
        <f>_xlfn.NORM.DIST('DATA SIAP'!I410,$B$5,$B$6, FALSE)</f>
        <v>0.3255971339791599</v>
      </c>
      <c r="M411" s="7">
        <f>_xlfn.NORM.DIST('DATA SIAP'!J410,$C$5,$C$6, FALSE)</f>
        <v>9.4424779024592773E-2</v>
      </c>
      <c r="N411" s="7">
        <f>_xlfn.NORM.DIST('DATA SIAP'!K410,$D$5,$D$6, FALSE)</f>
        <v>9.5359332080553083E-2</v>
      </c>
      <c r="O411" s="7">
        <f>_xlfn.NORM.DIST('DATA SIAP'!L410,$E$5,$E$6, FALSE)</f>
        <v>4.0243063274926397E-2</v>
      </c>
      <c r="T411" s="7">
        <f t="shared" si="19"/>
        <v>2.1183779189416949E-6</v>
      </c>
      <c r="U411" s="7">
        <f t="shared" si="20"/>
        <v>5.4006470401654577E-5</v>
      </c>
      <c r="W411" s="7" t="str">
        <f t="shared" si="21"/>
        <v>SEHAT</v>
      </c>
    </row>
    <row r="412" spans="7:23" x14ac:dyDescent="0.25">
      <c r="G412" s="7">
        <f>_xlfn.NORM.DIST('DATA SIAP'!I411,$B$2,$B$3, FALSE)</f>
        <v>6.2282131541449362E-2</v>
      </c>
      <c r="H412" s="7">
        <f>_xlfn.NORM.DIST('DATA SIAP'!J411,$C$2,$C$3, FALSE)</f>
        <v>7.9529562482071894E-2</v>
      </c>
      <c r="I412" s="7">
        <f>_xlfn.NORM.DIST('DATA SIAP'!K411,$D$2,$D$3, FALSE)</f>
        <v>7.2336844110314991E-2</v>
      </c>
      <c r="J412" s="7">
        <f>_xlfn.NORM.DIST('DATA SIAP'!L411,$E$2,$E$3, FALSE)</f>
        <v>4.0289888752805127E-2</v>
      </c>
      <c r="L412" s="7">
        <f>_xlfn.NORM.DIST('DATA SIAP'!I411,$B$5,$B$6, FALSE)</f>
        <v>0.22193547602789976</v>
      </c>
      <c r="M412" s="7">
        <f>_xlfn.NORM.DIST('DATA SIAP'!J411,$C$5,$C$6, FALSE)</f>
        <v>7.6535332316773924E-2</v>
      </c>
      <c r="N412" s="7">
        <f>_xlfn.NORM.DIST('DATA SIAP'!K411,$D$5,$D$6, FALSE)</f>
        <v>4.9554332509160672E-2</v>
      </c>
      <c r="O412" s="7">
        <f>_xlfn.NORM.DIST('DATA SIAP'!L411,$E$5,$E$6, FALSE)</f>
        <v>3.7266211728178282E-2</v>
      </c>
      <c r="T412" s="7">
        <f t="shared" si="19"/>
        <v>7.8279864869237917E-6</v>
      </c>
      <c r="U412" s="7">
        <f t="shared" si="20"/>
        <v>1.4358550212461205E-5</v>
      </c>
      <c r="W412" s="7" t="str">
        <f t="shared" si="21"/>
        <v>ANEMIA</v>
      </c>
    </row>
    <row r="413" spans="7:23" x14ac:dyDescent="0.25">
      <c r="G413" s="7">
        <f>_xlfn.NORM.DIST('DATA SIAP'!I412,$B$2,$B$3, FALSE)</f>
        <v>0.12343957965000014</v>
      </c>
      <c r="H413" s="7">
        <f>_xlfn.NORM.DIST('DATA SIAP'!J412,$C$2,$C$3, FALSE)</f>
        <v>0.10099376942535292</v>
      </c>
      <c r="I413" s="7">
        <f>_xlfn.NORM.DIST('DATA SIAP'!K412,$D$2,$D$3, FALSE)</f>
        <v>0.25802048460065757</v>
      </c>
      <c r="J413" s="7">
        <f>_xlfn.NORM.DIST('DATA SIAP'!L412,$E$2,$E$3, FALSE)</f>
        <v>1.1998366878669313E-2</v>
      </c>
      <c r="L413" s="7">
        <f>_xlfn.NORM.DIST('DATA SIAP'!I412,$B$5,$B$6, FALSE)</f>
        <v>4.2501347029991324E-5</v>
      </c>
      <c r="M413" s="7">
        <f>_xlfn.NORM.DIST('DATA SIAP'!J412,$C$5,$C$6, FALSE)</f>
        <v>9.4424779024592773E-2</v>
      </c>
      <c r="N413" s="7">
        <f>_xlfn.NORM.DIST('DATA SIAP'!K412,$D$5,$D$6, FALSE)</f>
        <v>0.24006849003587924</v>
      </c>
      <c r="O413" s="7">
        <f>_xlfn.NORM.DIST('DATA SIAP'!L412,$E$5,$E$6, FALSE)</f>
        <v>1.4335827284894914E-2</v>
      </c>
      <c r="T413" s="7">
        <f t="shared" si="19"/>
        <v>2.0927999714832142E-5</v>
      </c>
      <c r="U413" s="7">
        <f t="shared" si="20"/>
        <v>6.3222491261796794E-9</v>
      </c>
      <c r="W413" s="7" t="str">
        <f t="shared" si="21"/>
        <v>SEHAT</v>
      </c>
    </row>
    <row r="414" spans="7:23" x14ac:dyDescent="0.25">
      <c r="G414" s="7">
        <f>_xlfn.NORM.DIST('DATA SIAP'!I413,$B$2,$B$3, FALSE)</f>
        <v>8.0741245945897683E-2</v>
      </c>
      <c r="H414" s="7">
        <f>_xlfn.NORM.DIST('DATA SIAP'!J413,$C$2,$C$3, FALSE)</f>
        <v>9.2978664094274979E-2</v>
      </c>
      <c r="I414" s="7">
        <f>_xlfn.NORM.DIST('DATA SIAP'!K413,$D$2,$D$3, FALSE)</f>
        <v>9.470219971360351E-2</v>
      </c>
      <c r="J414" s="7">
        <f>_xlfn.NORM.DIST('DATA SIAP'!L413,$E$2,$E$3, FALSE)</f>
        <v>2.856275440562573E-2</v>
      </c>
      <c r="L414" s="7">
        <f>_xlfn.NORM.DIST('DATA SIAP'!I413,$B$5,$B$6, FALSE)</f>
        <v>0.18971286532748305</v>
      </c>
      <c r="M414" s="7">
        <f>_xlfn.NORM.DIST('DATA SIAP'!J413,$C$5,$C$6, FALSE)</f>
        <v>8.7778984421562511E-2</v>
      </c>
      <c r="N414" s="7">
        <f>_xlfn.NORM.DIST('DATA SIAP'!K413,$D$5,$D$6, FALSE)</f>
        <v>0.1176432423163154</v>
      </c>
      <c r="O414" s="7">
        <f>_xlfn.NORM.DIST('DATA SIAP'!L413,$E$5,$E$6, FALSE)</f>
        <v>2.6687334078852761E-2</v>
      </c>
      <c r="T414" s="7">
        <f t="shared" si="19"/>
        <v>1.1011368129048516E-5</v>
      </c>
      <c r="U414" s="7">
        <f t="shared" si="20"/>
        <v>2.3932304795438546E-5</v>
      </c>
      <c r="W414" s="7" t="str">
        <f t="shared" si="21"/>
        <v>ANEMIA</v>
      </c>
    </row>
    <row r="415" spans="7:23" x14ac:dyDescent="0.25">
      <c r="G415" s="7">
        <f>_xlfn.NORM.DIST('DATA SIAP'!I414,$B$2,$B$3, FALSE)</f>
        <v>9.9456018397713952E-2</v>
      </c>
      <c r="H415" s="7">
        <f>_xlfn.NORM.DIST('DATA SIAP'!J414,$C$2,$C$3, FALSE)</f>
        <v>5.239035074725458E-2</v>
      </c>
      <c r="I415" s="7">
        <f>_xlfn.NORM.DIST('DATA SIAP'!K414,$D$2,$D$3, FALSE)</f>
        <v>7.5864629322429281E-2</v>
      </c>
      <c r="J415" s="7">
        <f>_xlfn.NORM.DIST('DATA SIAP'!L414,$E$2,$E$3, FALSE)</f>
        <v>1.8873050175723983E-2</v>
      </c>
      <c r="L415" s="7">
        <f>_xlfn.NORM.DIST('DATA SIAP'!I414,$B$5,$B$6, FALSE)</f>
        <v>2.0999310805191293E-5</v>
      </c>
      <c r="M415" s="7">
        <f>_xlfn.NORM.DIST('DATA SIAP'!J414,$C$5,$C$6, FALSE)</f>
        <v>5.3697713120298272E-2</v>
      </c>
      <c r="N415" s="7">
        <f>_xlfn.NORM.DIST('DATA SIAP'!K414,$D$5,$D$6, FALSE)</f>
        <v>9.5359332080553083E-2</v>
      </c>
      <c r="O415" s="7">
        <f>_xlfn.NORM.DIST('DATA SIAP'!L414,$E$5,$E$6, FALSE)</f>
        <v>1.8129079899728107E-2</v>
      </c>
      <c r="T415" s="7">
        <f t="shared" si="19"/>
        <v>4.0454439679338227E-6</v>
      </c>
      <c r="U415" s="7">
        <f t="shared" si="20"/>
        <v>8.9232858940567857E-10</v>
      </c>
      <c r="W415" s="7" t="str">
        <f t="shared" si="21"/>
        <v>ANEMIA</v>
      </c>
    </row>
    <row r="416" spans="7:23" x14ac:dyDescent="0.25">
      <c r="G416" s="7">
        <f>_xlfn.NORM.DIST('DATA SIAP'!I415,$B$2,$B$3, FALSE)</f>
        <v>0.27939584624189906</v>
      </c>
      <c r="H416" s="7">
        <f>_xlfn.NORM.DIST('DATA SIAP'!J415,$C$2,$C$3, FALSE)</f>
        <v>9.6161656224035566E-2</v>
      </c>
      <c r="I416" s="7">
        <f>_xlfn.NORM.DIST('DATA SIAP'!K415,$D$2,$D$3, FALSE)</f>
        <v>0.21153935719650352</v>
      </c>
      <c r="J416" s="7">
        <f>_xlfn.NORM.DIST('DATA SIAP'!L415,$E$2,$E$3, FALSE)</f>
        <v>4.1304903305146169E-2</v>
      </c>
      <c r="L416" s="7">
        <f>_xlfn.NORM.DIST('DATA SIAP'!I415,$B$5,$B$6, FALSE)</f>
        <v>2.0653187980494803E-2</v>
      </c>
      <c r="M416" s="7">
        <f>_xlfn.NORM.DIST('DATA SIAP'!J415,$C$5,$C$6, FALSE)</f>
        <v>9.0418829930510661E-2</v>
      </c>
      <c r="N416" s="7">
        <f>_xlfn.NORM.DIST('DATA SIAP'!K415,$D$5,$D$6, FALSE)</f>
        <v>0.24286362542611273</v>
      </c>
      <c r="O416" s="7">
        <f>_xlfn.NORM.DIST('DATA SIAP'!L415,$E$5,$E$6, FALSE)</f>
        <v>3.825676471523573E-2</v>
      </c>
      <c r="T416" s="7">
        <f t="shared" si="19"/>
        <v>1.272966723223426E-4</v>
      </c>
      <c r="U416" s="7">
        <f t="shared" si="20"/>
        <v>7.942216228921903E-6</v>
      </c>
      <c r="W416" s="7" t="str">
        <f t="shared" si="21"/>
        <v>SEHAT</v>
      </c>
    </row>
    <row r="417" spans="7:23" x14ac:dyDescent="0.25">
      <c r="G417" s="7">
        <f>_xlfn.NORM.DIST('DATA SIAP'!I416,$B$2,$B$3, FALSE)</f>
        <v>2.6873756118412514E-3</v>
      </c>
      <c r="H417" s="7">
        <f>_xlfn.NORM.DIST('DATA SIAP'!J416,$C$2,$C$3, FALSE)</f>
        <v>6.1930288321728387E-2</v>
      </c>
      <c r="I417" s="7">
        <f>_xlfn.NORM.DIST('DATA SIAP'!K416,$D$2,$D$3, FALSE)</f>
        <v>9.470219971360351E-2</v>
      </c>
      <c r="J417" s="7">
        <f>_xlfn.NORM.DIST('DATA SIAP'!L416,$E$2,$E$3, FALSE)</f>
        <v>1.0050594748312996E-2</v>
      </c>
      <c r="L417" s="7">
        <f>_xlfn.NORM.DIST('DATA SIAP'!I416,$B$5,$B$6, FALSE)</f>
        <v>0.28605794420747072</v>
      </c>
      <c r="M417" s="7">
        <f>_xlfn.NORM.DIST('DATA SIAP'!J416,$C$5,$C$6, FALSE)</f>
        <v>6.1492612070584686E-2</v>
      </c>
      <c r="N417" s="7">
        <f>_xlfn.NORM.DIST('DATA SIAP'!K416,$D$5,$D$6, FALSE)</f>
        <v>0.1176432423163154</v>
      </c>
      <c r="O417" s="7">
        <f>_xlfn.NORM.DIST('DATA SIAP'!L416,$E$5,$E$6, FALSE)</f>
        <v>1.0158254708382988E-2</v>
      </c>
      <c r="T417" s="7">
        <f t="shared" si="19"/>
        <v>8.5898520392794059E-8</v>
      </c>
      <c r="U417" s="7">
        <f t="shared" si="20"/>
        <v>9.6225028926368727E-6</v>
      </c>
      <c r="W417" s="7" t="str">
        <f t="shared" si="21"/>
        <v>SEHAT</v>
      </c>
    </row>
    <row r="418" spans="7:23" x14ac:dyDescent="0.25">
      <c r="G418" s="7">
        <f>_xlfn.NORM.DIST('DATA SIAP'!I417,$B$2,$B$3, FALSE)</f>
        <v>7.1119540327410455E-2</v>
      </c>
      <c r="H418" s="7">
        <f>_xlfn.NORM.DIST('DATA SIAP'!J417,$C$2,$C$3, FALSE)</f>
        <v>2.5859294948494115E-2</v>
      </c>
      <c r="I418" s="7">
        <f>_xlfn.NORM.DIST('DATA SIAP'!K417,$D$2,$D$3, FALSE)</f>
        <v>0.19482359643262351</v>
      </c>
      <c r="J418" s="7">
        <f>_xlfn.NORM.DIST('DATA SIAP'!L417,$E$2,$E$3, FALSE)</f>
        <v>1.9399820962252661E-2</v>
      </c>
      <c r="L418" s="7">
        <f>_xlfn.NORM.DIST('DATA SIAP'!I417,$B$5,$B$6, FALSE)</f>
        <v>0.2058796345211516</v>
      </c>
      <c r="M418" s="7">
        <f>_xlfn.NORM.DIST('DATA SIAP'!J417,$C$5,$C$6, FALSE)</f>
        <v>2.8685715648412768E-2</v>
      </c>
      <c r="N418" s="7">
        <f>_xlfn.NORM.DIST('DATA SIAP'!K417,$D$5,$D$6, FALSE)</f>
        <v>0.16449544010737174</v>
      </c>
      <c r="O418" s="7">
        <f>_xlfn.NORM.DIST('DATA SIAP'!L417,$E$5,$E$6, FALSE)</f>
        <v>1.8597103272465151E-2</v>
      </c>
      <c r="T418" s="7">
        <f t="shared" si="19"/>
        <v>3.7691834845990946E-6</v>
      </c>
      <c r="U418" s="7">
        <f t="shared" si="20"/>
        <v>8.2699570937082658E-6</v>
      </c>
      <c r="W418" s="7" t="str">
        <f t="shared" si="21"/>
        <v>ANEMIA</v>
      </c>
    </row>
    <row r="419" spans="7:23" x14ac:dyDescent="0.25">
      <c r="G419" s="7">
        <f>_xlfn.NORM.DIST('DATA SIAP'!I418,$B$2,$B$3, FALSE)</f>
        <v>9.9456018397713952E-2</v>
      </c>
      <c r="H419" s="7">
        <f>_xlfn.NORM.DIST('DATA SIAP'!J418,$C$2,$C$3, FALSE)</f>
        <v>5.3991747109504211E-2</v>
      </c>
      <c r="I419" s="7">
        <f>_xlfn.NORM.DIST('DATA SIAP'!K418,$D$2,$D$3, FALSE)</f>
        <v>0.19482359643262351</v>
      </c>
      <c r="J419" s="7">
        <f>_xlfn.NORM.DIST('DATA SIAP'!L418,$E$2,$E$3, FALSE)</f>
        <v>1.1588218885949374E-2</v>
      </c>
      <c r="L419" s="7">
        <f>_xlfn.NORM.DIST('DATA SIAP'!I418,$B$5,$B$6, FALSE)</f>
        <v>2.0999310805191293E-5</v>
      </c>
      <c r="M419" s="7">
        <f>_xlfn.NORM.DIST('DATA SIAP'!J418,$C$5,$C$6, FALSE)</f>
        <v>5.5115893283898598E-2</v>
      </c>
      <c r="N419" s="7">
        <f>_xlfn.NORM.DIST('DATA SIAP'!K418,$D$5,$D$6, FALSE)</f>
        <v>0.16449544010737174</v>
      </c>
      <c r="O419" s="7">
        <f>_xlfn.NORM.DIST('DATA SIAP'!L418,$E$5,$E$6, FALSE)</f>
        <v>1.3920255917731012E-2</v>
      </c>
      <c r="T419" s="7">
        <f t="shared" si="19"/>
        <v>6.5738391961281645E-6</v>
      </c>
      <c r="U419" s="7">
        <f t="shared" si="20"/>
        <v>1.2131318013255738E-9</v>
      </c>
      <c r="W419" s="7" t="str">
        <f t="shared" si="21"/>
        <v>SEHAT</v>
      </c>
    </row>
    <row r="420" spans="7:23" x14ac:dyDescent="0.25">
      <c r="G420" s="7">
        <f>_xlfn.NORM.DIST('DATA SIAP'!I419,$B$2,$B$3, FALSE)</f>
        <v>2.1201250670888029E-3</v>
      </c>
      <c r="H420" s="7">
        <f>_xlfn.NORM.DIST('DATA SIAP'!J419,$C$2,$C$3, FALSE)</f>
        <v>9.3116210059479232E-2</v>
      </c>
      <c r="I420" s="7">
        <f>_xlfn.NORM.DIST('DATA SIAP'!K419,$D$2,$D$3, FALSE)</f>
        <v>0.21834869514136626</v>
      </c>
      <c r="J420" s="7">
        <f>_xlfn.NORM.DIST('DATA SIAP'!L419,$E$2,$E$3, FALSE)</f>
        <v>3.2103345727641522E-2</v>
      </c>
      <c r="L420" s="7">
        <f>_xlfn.NORM.DIST('DATA SIAP'!I419,$B$5,$B$6, FALSE)</f>
        <v>0.27340634464238739</v>
      </c>
      <c r="M420" s="7">
        <f>_xlfn.NORM.DIST('DATA SIAP'!J419,$C$5,$C$6, FALSE)</f>
        <v>8.8267340608181394E-2</v>
      </c>
      <c r="N420" s="7">
        <f>_xlfn.NORM.DIST('DATA SIAP'!K419,$D$5,$D$6, FALSE)</f>
        <v>0.19067592347995771</v>
      </c>
      <c r="O420" s="7">
        <f>_xlfn.NORM.DIST('DATA SIAP'!L419,$E$5,$E$6, FALSE)</f>
        <v>3.2543691331192372E-2</v>
      </c>
      <c r="T420" s="7">
        <f t="shared" si="19"/>
        <v>7.5039520417281941E-7</v>
      </c>
      <c r="U420" s="7">
        <f t="shared" si="20"/>
        <v>6.8548240745546499E-5</v>
      </c>
      <c r="W420" s="7" t="str">
        <f t="shared" si="21"/>
        <v>ANEMIA</v>
      </c>
    </row>
    <row r="421" spans="7:23" x14ac:dyDescent="0.25">
      <c r="G421" s="7">
        <f>_xlfn.NORM.DIST('DATA SIAP'!I420,$B$2,$B$3, FALSE)</f>
        <v>0.21902250053629846</v>
      </c>
      <c r="H421" s="7">
        <f>_xlfn.NORM.DIST('DATA SIAP'!J420,$C$2,$C$3, FALSE)</f>
        <v>4.9038831719931585E-2</v>
      </c>
      <c r="I421" s="7">
        <f>_xlfn.NORM.DIST('DATA SIAP'!K420,$D$2,$D$3, FALSE)</f>
        <v>0.28223010825692313</v>
      </c>
      <c r="J421" s="7">
        <f>_xlfn.NORM.DIST('DATA SIAP'!L420,$E$2,$E$3, FALSE)</f>
        <v>4.0738840034066172E-2</v>
      </c>
      <c r="L421" s="7">
        <f>_xlfn.NORM.DIST('DATA SIAP'!I420,$B$5,$B$6, FALSE)</f>
        <v>4.061080910159737E-4</v>
      </c>
      <c r="M421" s="7">
        <f>_xlfn.NORM.DIST('DATA SIAP'!J420,$C$5,$C$6, FALSE)</f>
        <v>5.0148101215483833E-2</v>
      </c>
      <c r="N421" s="7">
        <f>_xlfn.NORM.DIST('DATA SIAP'!K420,$D$5,$D$6, FALSE)</f>
        <v>0.29338304844726315</v>
      </c>
      <c r="O421" s="7">
        <f>_xlfn.NORM.DIST('DATA SIAP'!L420,$E$5,$E$6, FALSE)</f>
        <v>3.9168332612045956E-2</v>
      </c>
      <c r="T421" s="7">
        <f t="shared" si="19"/>
        <v>6.696428410894479E-5</v>
      </c>
      <c r="U421" s="7">
        <f t="shared" si="20"/>
        <v>1.0712510217267196E-7</v>
      </c>
      <c r="W421" s="7" t="str">
        <f t="shared" si="21"/>
        <v>SEHAT</v>
      </c>
    </row>
    <row r="422" spans="7:23" x14ac:dyDescent="0.25">
      <c r="G422" s="7">
        <f>_xlfn.NORM.DIST('DATA SIAP'!I421,$B$2,$B$3, FALSE)</f>
        <v>2.1201250670888029E-3</v>
      </c>
      <c r="H422" s="7">
        <f>_xlfn.NORM.DIST('DATA SIAP'!J421,$C$2,$C$3, FALSE)</f>
        <v>6.8473529177472514E-2</v>
      </c>
      <c r="I422" s="7">
        <f>_xlfn.NORM.DIST('DATA SIAP'!K421,$D$2,$D$3, FALSE)</f>
        <v>0.22939862492988175</v>
      </c>
      <c r="J422" s="7">
        <f>_xlfn.NORM.DIST('DATA SIAP'!L421,$E$2,$E$3, FALSE)</f>
        <v>2.9953029420124479E-2</v>
      </c>
      <c r="L422" s="7">
        <f>_xlfn.NORM.DIST('DATA SIAP'!I421,$B$5,$B$6, FALSE)</f>
        <v>0.27340634464238739</v>
      </c>
      <c r="M422" s="7">
        <f>_xlfn.NORM.DIST('DATA SIAP'!J421,$C$5,$C$6, FALSE)</f>
        <v>6.7137525063334508E-2</v>
      </c>
      <c r="N422" s="7">
        <f>_xlfn.NORM.DIST('DATA SIAP'!K421,$D$5,$D$6, FALSE)</f>
        <v>0.20362742527633393</v>
      </c>
      <c r="O422" s="7">
        <f>_xlfn.NORM.DIST('DATA SIAP'!L421,$E$5,$E$6, FALSE)</f>
        <v>2.7914492716034574E-2</v>
      </c>
      <c r="T422" s="7">
        <f t="shared" si="19"/>
        <v>5.4090143968171468E-7</v>
      </c>
      <c r="U422" s="7">
        <f t="shared" si="20"/>
        <v>4.7760068189816027E-5</v>
      </c>
      <c r="W422" s="7" t="str">
        <f t="shared" si="21"/>
        <v>SEHAT</v>
      </c>
    </row>
    <row r="423" spans="7:23" x14ac:dyDescent="0.25">
      <c r="G423" s="7">
        <f>_xlfn.NORM.DIST('DATA SIAP'!I422,$B$2,$B$3, FALSE)</f>
        <v>9.8680512350186426E-3</v>
      </c>
      <c r="H423" s="7">
        <f>_xlfn.NORM.DIST('DATA SIAP'!J422,$C$2,$C$3, FALSE)</f>
        <v>2.2633098519131582E-2</v>
      </c>
      <c r="I423" s="7">
        <f>_xlfn.NORM.DIST('DATA SIAP'!K422,$D$2,$D$3, FALSE)</f>
        <v>0.27722454854897127</v>
      </c>
      <c r="J423" s="7">
        <f>_xlfn.NORM.DIST('DATA SIAP'!L422,$E$2,$E$3, FALSE)</f>
        <v>2.0739580011795256E-2</v>
      </c>
      <c r="L423" s="7">
        <f>_xlfn.NORM.DIST('DATA SIAP'!I422,$B$5,$B$6, FALSE)</f>
        <v>0.3261054086214823</v>
      </c>
      <c r="M423" s="7">
        <f>_xlfn.NORM.DIST('DATA SIAP'!J422,$C$5,$C$6, FALSE)</f>
        <v>2.5537513137463275E-2</v>
      </c>
      <c r="N423" s="7">
        <f>_xlfn.NORM.DIST('DATA SIAP'!K422,$D$5,$D$6, FALSE)</f>
        <v>0.26955695164547089</v>
      </c>
      <c r="O423" s="7">
        <f>_xlfn.NORM.DIST('DATA SIAP'!L422,$E$5,$E$6, FALSE)</f>
        <v>1.9785075518080755E-2</v>
      </c>
      <c r="T423" s="7">
        <f t="shared" si="19"/>
        <v>6.9632090321421529E-7</v>
      </c>
      <c r="U423" s="7">
        <f t="shared" si="20"/>
        <v>2.0330584553936079E-5</v>
      </c>
      <c r="W423" s="7" t="str">
        <f t="shared" si="21"/>
        <v>ANEMIA</v>
      </c>
    </row>
    <row r="424" spans="7:23" x14ac:dyDescent="0.25">
      <c r="G424" s="7">
        <f>_xlfn.NORM.DIST('DATA SIAP'!I423,$B$2,$B$3, FALSE)</f>
        <v>0.19139514372715244</v>
      </c>
      <c r="H424" s="7">
        <f>_xlfn.NORM.DIST('DATA SIAP'!J423,$C$2,$C$3, FALSE)</f>
        <v>7.3500308296642849E-2</v>
      </c>
      <c r="I424" s="7">
        <f>_xlfn.NORM.DIST('DATA SIAP'!K423,$D$2,$D$3, FALSE)</f>
        <v>0.18761229391009854</v>
      </c>
      <c r="J424" s="7">
        <f>_xlfn.NORM.DIST('DATA SIAP'!L423,$E$2,$E$3, FALSE)</f>
        <v>2.9953029420124479E-2</v>
      </c>
      <c r="L424" s="7">
        <f>_xlfn.NORM.DIST('DATA SIAP'!I423,$B$5,$B$6, FALSE)</f>
        <v>2.2033814817541678E-4</v>
      </c>
      <c r="M424" s="7">
        <f>_xlfn.NORM.DIST('DATA SIAP'!J423,$C$5,$C$6, FALSE)</f>
        <v>7.197283357529842E-2</v>
      </c>
      <c r="N424" s="7">
        <f>_xlfn.NORM.DIST('DATA SIAP'!K423,$D$5,$D$6, FALSE)</f>
        <v>0.21939825426614995</v>
      </c>
      <c r="O424" s="7">
        <f>_xlfn.NORM.DIST('DATA SIAP'!L423,$E$5,$E$6, FALSE)</f>
        <v>2.7914492716034574E-2</v>
      </c>
      <c r="T424" s="7">
        <f t="shared" si="19"/>
        <v>4.2867139312394934E-5</v>
      </c>
      <c r="U424" s="7">
        <f t="shared" si="20"/>
        <v>4.4457620686209837E-8</v>
      </c>
      <c r="W424" s="7" t="str">
        <f t="shared" si="21"/>
        <v>ANEMIA</v>
      </c>
    </row>
    <row r="425" spans="7:23" x14ac:dyDescent="0.25">
      <c r="G425" s="7">
        <f>_xlfn.NORM.DIST('DATA SIAP'!I424,$B$2,$B$3, FALSE)</f>
        <v>0.29394703936942013</v>
      </c>
      <c r="H425" s="7">
        <f>_xlfn.NORM.DIST('DATA SIAP'!J424,$C$2,$C$3, FALSE)</f>
        <v>5.239035074725458E-2</v>
      </c>
      <c r="I425" s="7">
        <f>_xlfn.NORM.DIST('DATA SIAP'!K424,$D$2,$D$3, FALSE)</f>
        <v>0.13402998203293126</v>
      </c>
      <c r="J425" s="7">
        <f>_xlfn.NORM.DIST('DATA SIAP'!L424,$E$2,$E$3, FALSE)</f>
        <v>3.1298412176428786E-2</v>
      </c>
      <c r="L425" s="7">
        <f>_xlfn.NORM.DIST('DATA SIAP'!I424,$B$5,$B$6, FALSE)</f>
        <v>1.3878407083089302E-2</v>
      </c>
      <c r="M425" s="7">
        <f>_xlfn.NORM.DIST('DATA SIAP'!J424,$C$5,$C$6, FALSE)</f>
        <v>5.3697713120298272E-2</v>
      </c>
      <c r="N425" s="7">
        <f>_xlfn.NORM.DIST('DATA SIAP'!K424,$D$5,$D$6, FALSE)</f>
        <v>0.10342099402218156</v>
      </c>
      <c r="O425" s="7">
        <f>_xlfn.NORM.DIST('DATA SIAP'!L424,$E$5,$E$6, FALSE)</f>
        <v>3.1882438271472101E-2</v>
      </c>
      <c r="T425" s="7">
        <f t="shared" si="19"/>
        <v>3.5030556940308679E-5</v>
      </c>
      <c r="U425" s="7">
        <f t="shared" si="20"/>
        <v>1.1248138620056037E-6</v>
      </c>
      <c r="W425" s="7" t="str">
        <f t="shared" si="21"/>
        <v>ANEMIA</v>
      </c>
    </row>
    <row r="426" spans="7:23" x14ac:dyDescent="0.25">
      <c r="G426" s="7">
        <f>_xlfn.NORM.DIST('DATA SIAP'!I425,$B$2,$B$3, FALSE)</f>
        <v>0.17736729937969981</v>
      </c>
      <c r="H426" s="7">
        <f>_xlfn.NORM.DIST('DATA SIAP'!J425,$C$2,$C$3, FALSE)</f>
        <v>4.442975829680687E-2</v>
      </c>
      <c r="I426" s="7">
        <f>_xlfn.NORM.DIST('DATA SIAP'!K425,$D$2,$D$3, FALSE)</f>
        <v>7.2336844110314991E-2</v>
      </c>
      <c r="J426" s="7">
        <f>_xlfn.NORM.DIST('DATA SIAP'!L425,$E$2,$E$3, FALSE)</f>
        <v>1.9911158682550337E-2</v>
      </c>
      <c r="L426" s="7">
        <f>_xlfn.NORM.DIST('DATA SIAP'!I425,$B$5,$B$6, FALSE)</f>
        <v>1.6067889059008145E-4</v>
      </c>
      <c r="M426" s="7">
        <f>_xlfn.NORM.DIST('DATA SIAP'!J425,$C$5,$C$6, FALSE)</f>
        <v>4.6006459482833273E-2</v>
      </c>
      <c r="N426" s="7">
        <f>_xlfn.NORM.DIST('DATA SIAP'!K425,$D$5,$D$6, FALSE)</f>
        <v>4.9554332509160672E-2</v>
      </c>
      <c r="O426" s="7">
        <f>_xlfn.NORM.DIST('DATA SIAP'!L425,$E$5,$E$6, FALSE)</f>
        <v>2.194985522932957E-2</v>
      </c>
      <c r="T426" s="7">
        <f t="shared" si="19"/>
        <v>6.1546870622553537E-6</v>
      </c>
      <c r="U426" s="7">
        <f t="shared" si="20"/>
        <v>3.6805772731985814E-9</v>
      </c>
      <c r="W426" s="7" t="str">
        <f t="shared" si="21"/>
        <v>ANEMIA</v>
      </c>
    </row>
    <row r="427" spans="7:23" x14ac:dyDescent="0.25">
      <c r="G427" s="7">
        <f>_xlfn.NORM.DIST('DATA SIAP'!I426,$B$2,$B$3, FALSE)</f>
        <v>0.17736729937969981</v>
      </c>
      <c r="H427" s="7">
        <f>_xlfn.NORM.DIST('DATA SIAP'!J426,$C$2,$C$3, FALSE)</f>
        <v>8.8217960599770509E-2</v>
      </c>
      <c r="I427" s="7">
        <f>_xlfn.NORM.DIST('DATA SIAP'!K426,$D$2,$D$3, FALSE)</f>
        <v>0.28106392084554088</v>
      </c>
      <c r="J427" s="7">
        <f>_xlfn.NORM.DIST('DATA SIAP'!L426,$E$2,$E$3, FALSE)</f>
        <v>3.887231974283225E-2</v>
      </c>
      <c r="L427" s="7">
        <f>_xlfn.NORM.DIST('DATA SIAP'!I426,$B$5,$B$6, FALSE)</f>
        <v>1.6067889059008145E-4</v>
      </c>
      <c r="M427" s="7">
        <f>_xlfn.NORM.DIST('DATA SIAP'!J426,$C$5,$C$6, FALSE)</f>
        <v>8.4254861919261834E-2</v>
      </c>
      <c r="N427" s="7">
        <f>_xlfn.NORM.DIST('DATA SIAP'!K426,$D$5,$D$6, FALSE)</f>
        <v>0.27714999836250115</v>
      </c>
      <c r="O427" s="7">
        <f>_xlfn.NORM.DIST('DATA SIAP'!L426,$E$5,$E$6, FALSE)</f>
        <v>3.7838035101675764E-2</v>
      </c>
      <c r="T427" s="7">
        <f t="shared" si="19"/>
        <v>9.2699737982747057E-5</v>
      </c>
      <c r="U427" s="7">
        <f t="shared" si="20"/>
        <v>6.4986367780211846E-8</v>
      </c>
      <c r="W427" s="7" t="str">
        <f t="shared" si="21"/>
        <v>SEHAT</v>
      </c>
    </row>
    <row r="428" spans="7:23" x14ac:dyDescent="0.25">
      <c r="G428" s="7">
        <f>_xlfn.NORM.DIST('DATA SIAP'!I427,$B$2,$B$3, FALSE)</f>
        <v>4.0399244277051952E-2</v>
      </c>
      <c r="H428" s="7">
        <f>_xlfn.NORM.DIST('DATA SIAP'!J427,$C$2,$C$3, FALSE)</f>
        <v>0.10298716609708776</v>
      </c>
      <c r="I428" s="7">
        <f>_xlfn.NORM.DIST('DATA SIAP'!K427,$D$2,$D$3, FALSE)</f>
        <v>0.11583575279547854</v>
      </c>
      <c r="J428" s="7">
        <f>_xlfn.NORM.DIST('DATA SIAP'!L427,$E$2,$E$3, FALSE)</f>
        <v>4.3084629400647154E-2</v>
      </c>
      <c r="L428" s="7">
        <f>_xlfn.NORM.DIST('DATA SIAP'!I427,$B$5,$B$6, FALSE)</f>
        <v>0.26708356345573886</v>
      </c>
      <c r="M428" s="7">
        <f>_xlfn.NORM.DIST('DATA SIAP'!J427,$C$5,$C$6, FALSE)</f>
        <v>9.6202969642376596E-2</v>
      </c>
      <c r="N428" s="7">
        <f>_xlfn.NORM.DIST('DATA SIAP'!K427,$D$5,$D$6, FALSE)</f>
        <v>0.14202208186540324</v>
      </c>
      <c r="O428" s="7">
        <f>_xlfn.NORM.DIST('DATA SIAP'!L427,$E$5,$E$6, FALSE)</f>
        <v>4.0321438457566056E-2</v>
      </c>
      <c r="T428" s="7">
        <f t="shared" si="19"/>
        <v>1.1259619558638576E-5</v>
      </c>
      <c r="U428" s="7">
        <f t="shared" si="20"/>
        <v>6.735231755842033E-5</v>
      </c>
    </row>
  </sheetData>
  <mergeCells count="10">
    <mergeCell ref="T1:U1"/>
    <mergeCell ref="G1:J1"/>
    <mergeCell ref="L1:O1"/>
    <mergeCell ref="A26:B26"/>
    <mergeCell ref="A8:D8"/>
    <mergeCell ref="A12:D12"/>
    <mergeCell ref="A17:B17"/>
    <mergeCell ref="A21:B21"/>
    <mergeCell ref="A25:B25"/>
    <mergeCell ref="Q1:R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DE044-C370-4B73-ACC2-47B69F4D6641}">
  <dimension ref="A1:AP110"/>
  <sheetViews>
    <sheetView tabSelected="1" topLeftCell="N1" zoomScale="85" zoomScaleNormal="85" workbookViewId="0">
      <selection activeCell="AE8" sqref="AE8"/>
    </sheetView>
  </sheetViews>
  <sheetFormatPr defaultRowHeight="15" x14ac:dyDescent="0.25"/>
  <cols>
    <col min="1" max="1" width="7.5703125" bestFit="1" customWidth="1"/>
    <col min="2" max="2" width="11.85546875" bestFit="1" customWidth="1"/>
    <col min="3" max="3" width="5.7109375" bestFit="1" customWidth="1"/>
    <col min="4" max="4" width="6.42578125" bestFit="1" customWidth="1"/>
    <col min="5" max="5" width="6.85546875" bestFit="1" customWidth="1"/>
    <col min="6" max="6" width="6.5703125" bestFit="1" customWidth="1"/>
    <col min="8" max="8" width="7.5703125" bestFit="1" customWidth="1"/>
    <col min="9" max="9" width="11.85546875" bestFit="1" customWidth="1"/>
    <col min="10" max="10" width="5.7109375" bestFit="1" customWidth="1"/>
    <col min="11" max="11" width="6.42578125" bestFit="1" customWidth="1"/>
    <col min="12" max="12" width="6.85546875" bestFit="1" customWidth="1"/>
    <col min="13" max="13" width="6.5703125" bestFit="1" customWidth="1"/>
    <col min="14" max="14" width="7.42578125" bestFit="1" customWidth="1"/>
    <col min="15" max="15" width="17.85546875" bestFit="1" customWidth="1"/>
    <col min="16" max="16" width="13.42578125" bestFit="1" customWidth="1"/>
    <col min="17" max="19" width="12.85546875" bestFit="1" customWidth="1"/>
    <col min="21" max="24" width="12.85546875" bestFit="1" customWidth="1"/>
    <col min="26" max="29" width="12.85546875" bestFit="1" customWidth="1"/>
    <col min="31" max="31" width="16.7109375" bestFit="1" customWidth="1"/>
    <col min="32" max="32" width="12.85546875" bestFit="1" customWidth="1"/>
    <col min="34" max="34" width="14.85546875" bestFit="1" customWidth="1"/>
    <col min="35" max="35" width="16.7109375" bestFit="1" customWidth="1"/>
    <col min="37" max="37" width="27" bestFit="1" customWidth="1"/>
    <col min="39" max="39" width="14.140625" bestFit="1" customWidth="1"/>
    <col min="40" max="40" width="26.85546875" bestFit="1" customWidth="1"/>
    <col min="41" max="41" width="12.85546875" bestFit="1" customWidth="1"/>
    <col min="42" max="42" width="15.140625" bestFit="1" customWidth="1"/>
    <col min="43" max="43" width="11" bestFit="1" customWidth="1"/>
  </cols>
  <sheetData>
    <row r="1" spans="1:42" x14ac:dyDescent="0.25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15"/>
      <c r="H1" s="10" t="s">
        <v>0</v>
      </c>
      <c r="I1" s="11" t="s">
        <v>1</v>
      </c>
      <c r="J1" s="11" t="s">
        <v>2</v>
      </c>
      <c r="K1" s="11" t="s">
        <v>3</v>
      </c>
      <c r="L1" s="11" t="s">
        <v>4</v>
      </c>
      <c r="M1" s="12" t="s">
        <v>5</v>
      </c>
      <c r="O1" s="4" t="s">
        <v>6</v>
      </c>
      <c r="P1" s="4" t="s">
        <v>7</v>
      </c>
      <c r="Q1" s="4" t="s">
        <v>2</v>
      </c>
      <c r="R1" s="4" t="s">
        <v>3</v>
      </c>
      <c r="S1" s="4" t="s">
        <v>4</v>
      </c>
      <c r="U1" s="20" t="s">
        <v>25</v>
      </c>
      <c r="V1" s="20"/>
      <c r="W1" s="20"/>
      <c r="X1" s="20"/>
      <c r="Z1" s="20" t="s">
        <v>26</v>
      </c>
      <c r="AA1" s="20"/>
      <c r="AB1" s="20"/>
      <c r="AC1" s="20"/>
      <c r="AE1" s="20" t="s">
        <v>18</v>
      </c>
      <c r="AF1" s="20"/>
      <c r="AH1" s="20" t="s">
        <v>18</v>
      </c>
      <c r="AI1" s="20"/>
      <c r="AK1" s="4" t="s">
        <v>24</v>
      </c>
      <c r="AM1" s="17" t="s">
        <v>30</v>
      </c>
      <c r="AN1" s="16" t="s">
        <v>35</v>
      </c>
    </row>
    <row r="2" spans="1:42" x14ac:dyDescent="0.25">
      <c r="A2" s="10">
        <v>1</v>
      </c>
      <c r="B2" s="10">
        <v>15</v>
      </c>
      <c r="C2" s="10">
        <v>20.8</v>
      </c>
      <c r="D2" s="10">
        <v>32.299999999999997</v>
      </c>
      <c r="E2" s="10">
        <v>88.7</v>
      </c>
      <c r="F2" s="10">
        <v>0</v>
      </c>
      <c r="G2" s="15"/>
      <c r="H2" s="10">
        <v>1</v>
      </c>
      <c r="I2" s="10">
        <v>15</v>
      </c>
      <c r="J2" s="10">
        <v>20.8</v>
      </c>
      <c r="K2" s="10">
        <v>32.299999999999997</v>
      </c>
      <c r="L2" s="10">
        <v>88.7</v>
      </c>
      <c r="M2" s="10">
        <v>0</v>
      </c>
      <c r="O2" s="4" t="s">
        <v>8</v>
      </c>
      <c r="P2" s="6">
        <f>AVERAGE(B2:B57)</f>
        <v>14.689285714285717</v>
      </c>
      <c r="Q2" s="6">
        <f>AVERAGE(C2:C57)</f>
        <v>23.407142857142851</v>
      </c>
      <c r="R2" s="6">
        <f>AVERAGE(D2:D57)</f>
        <v>30.505357142857147</v>
      </c>
      <c r="S2" s="6">
        <f t="shared" ref="S2" si="0">AVERAGE(E2:E57)</f>
        <v>85.603571428571442</v>
      </c>
      <c r="U2" s="4" t="s">
        <v>13</v>
      </c>
      <c r="V2" s="4" t="s">
        <v>14</v>
      </c>
      <c r="W2" s="4" t="s">
        <v>15</v>
      </c>
      <c r="X2" s="4" t="s">
        <v>16</v>
      </c>
      <c r="Z2" s="4" t="s">
        <v>13</v>
      </c>
      <c r="AA2" s="4" t="s">
        <v>14</v>
      </c>
      <c r="AB2" s="4" t="s">
        <v>15</v>
      </c>
      <c r="AC2" s="4" t="s">
        <v>16</v>
      </c>
      <c r="AE2" s="4" t="s">
        <v>20</v>
      </c>
      <c r="AF2" s="7">
        <f>COUNTIF(F:F, 0) / COUNT(F:F)</f>
        <v>0.51851851851851849</v>
      </c>
      <c r="AH2" s="4" t="s">
        <v>20</v>
      </c>
      <c r="AI2" s="4" t="s">
        <v>19</v>
      </c>
      <c r="AK2" s="7" t="str">
        <f>IF(AH3&gt;AI3, "ANEMIA", "SEHAT")</f>
        <v>ANEMIA</v>
      </c>
      <c r="AM2" s="17" t="s">
        <v>31</v>
      </c>
      <c r="AN2" s="16" t="s">
        <v>36</v>
      </c>
    </row>
    <row r="3" spans="1:42" x14ac:dyDescent="0.25">
      <c r="A3" s="10">
        <v>0</v>
      </c>
      <c r="B3" s="10">
        <v>16.399999999999999</v>
      </c>
      <c r="C3" s="10">
        <v>27.2</v>
      </c>
      <c r="D3" s="10">
        <v>31.4</v>
      </c>
      <c r="E3" s="10">
        <v>70.599999999999994</v>
      </c>
      <c r="F3" s="10">
        <v>0</v>
      </c>
      <c r="G3" s="15"/>
      <c r="H3" s="10">
        <v>1</v>
      </c>
      <c r="I3" s="10">
        <v>11.6</v>
      </c>
      <c r="J3" s="10">
        <v>18</v>
      </c>
      <c r="K3" s="10">
        <v>32.200000000000003</v>
      </c>
      <c r="L3" s="10">
        <v>98.9</v>
      </c>
      <c r="M3" s="10">
        <v>1</v>
      </c>
      <c r="O3" s="4" t="s">
        <v>9</v>
      </c>
      <c r="P3" s="7">
        <f>_xlfn.STDEV.S(B2:B57)</f>
        <v>1.3603045877407649</v>
      </c>
      <c r="Q3" s="7">
        <f t="shared" ref="Q3:R3" si="1">_xlfn.STDEV.S(C2:C57)</f>
        <v>3.7683783414985856</v>
      </c>
      <c r="R3" s="7">
        <f t="shared" si="1"/>
        <v>1.537107039847275</v>
      </c>
      <c r="S3" s="7">
        <f>_xlfn.STDEV.S(E2:E57)</f>
        <v>10.149858293425453</v>
      </c>
      <c r="U3" s="14">
        <f>_xlfn.NORM.DIST(I2,$P$2,$P$3,FALSE)</f>
        <v>0.28572258306996473</v>
      </c>
      <c r="V3" s="14">
        <f>_xlfn.NORM.DIST(J2,$Q$2,$Q$3,FALSE)</f>
        <v>8.3333077093891136E-2</v>
      </c>
      <c r="W3" s="14">
        <f>_xlfn.NORM.DIST(K2,$R$2,$R$3,FALSE)</f>
        <v>0.13128007954250642</v>
      </c>
      <c r="X3" s="7">
        <f>_xlfn.NORM.DIST(L2,$S$2,$S$3,FALSE)</f>
        <v>3.7518074723442069E-2</v>
      </c>
      <c r="Z3" s="16">
        <f>_xlfn.NORM.DIST(I2,$P$5,$P$6,FALSE)</f>
        <v>1.0696572763856246E-3</v>
      </c>
      <c r="AA3" s="16">
        <f>_xlfn.NORM.DIST(J2,$Q$5,$Q$6,FALSE)</f>
        <v>9.2716648637463372E-2</v>
      </c>
      <c r="AB3" s="16">
        <f>_xlfn.NORM.DIST(K2,$R$5,$R$6,FALSE)</f>
        <v>9.1663175801628638E-2</v>
      </c>
      <c r="AC3" s="16">
        <f>_xlfn.NORM.DIST(L2,$S$5,$S$6,FALSE)</f>
        <v>4.0097815657157428E-2</v>
      </c>
      <c r="AE3" s="4" t="s">
        <v>19</v>
      </c>
      <c r="AF3" s="7">
        <f>COUNTIF(F:F, 1) / COUNT(F:F)</f>
        <v>0.48148148148148145</v>
      </c>
      <c r="AH3" s="7">
        <f>$AF$2 * U3 * V3 * W3 * X3</f>
        <v>6.0808687965576479E-5</v>
      </c>
      <c r="AI3" s="7">
        <f>$AF$3 * Z3 * AA3 * AB3 * AC3</f>
        <v>1.7550826698850997E-7</v>
      </c>
      <c r="AK3" s="7" t="str">
        <f t="shared" ref="AK3:AK66" si="2">IF(AH4&gt;AI4, "ANEMIA", "SEHAT")</f>
        <v>SEHAT</v>
      </c>
      <c r="AM3" s="17" t="s">
        <v>32</v>
      </c>
      <c r="AN3" s="16" t="s">
        <v>37</v>
      </c>
    </row>
    <row r="4" spans="1:42" x14ac:dyDescent="0.25">
      <c r="A4" s="10">
        <v>0</v>
      </c>
      <c r="B4" s="10">
        <v>15.5</v>
      </c>
      <c r="C4" s="10">
        <v>19.3</v>
      </c>
      <c r="D4" s="10">
        <v>32.5</v>
      </c>
      <c r="E4" s="10">
        <v>97.5</v>
      </c>
      <c r="F4" s="10">
        <v>0</v>
      </c>
      <c r="G4" s="15"/>
      <c r="H4" s="10">
        <v>1</v>
      </c>
      <c r="I4" s="10">
        <v>11.2</v>
      </c>
      <c r="J4" s="10">
        <v>27.8</v>
      </c>
      <c r="K4" s="10">
        <v>32.200000000000003</v>
      </c>
      <c r="L4" s="10">
        <v>95.8</v>
      </c>
      <c r="M4" s="10">
        <v>1</v>
      </c>
      <c r="O4" s="4"/>
      <c r="P4" s="4"/>
      <c r="Q4" s="4"/>
      <c r="R4" s="4"/>
      <c r="S4" s="4"/>
      <c r="U4" s="14">
        <f>_xlfn.NORM.DIST(I3,$P$2,$P$3,FALSE)</f>
        <v>2.2249751820158668E-2</v>
      </c>
      <c r="V4" s="14">
        <f>_xlfn.NORM.DIST(J3,$Q$2,$Q$3,FALSE)</f>
        <v>3.7816377842186451E-2</v>
      </c>
      <c r="W4" s="14">
        <f>_xlfn.NORM.DIST(K3,$R$2,$R$3,FALSE)</f>
        <v>0.14134082598061617</v>
      </c>
      <c r="X4" s="7">
        <f>_xlfn.NORM.DIST(L3,$S$2,$S$3,FALSE)</f>
        <v>1.6664692526506066E-2</v>
      </c>
      <c r="Z4" s="16">
        <f>_xlfn.NORM.DIST(I3,$P$5,$P$6,FALSE)</f>
        <v>0.42306811818703266</v>
      </c>
      <c r="AA4" s="16">
        <f>_xlfn.NORM.DIST(J3,$Q$5,$Q$6,FALSE)</f>
        <v>5.5156090474913856E-2</v>
      </c>
      <c r="AB4" s="16">
        <f>_xlfn.NORM.DIST(K3,$R$5,$R$6,FALSE)</f>
        <v>0.10095777634474051</v>
      </c>
      <c r="AC4" s="16">
        <f>_xlfn.NORM.DIST(L3,$S$5,$S$6,FALSE)</f>
        <v>1.8572322470139905E-2</v>
      </c>
      <c r="AH4" s="7">
        <f>$AF$2 * U4 * V4 * W4 * X4</f>
        <v>1.0276241482024602E-6</v>
      </c>
      <c r="AI4" s="7">
        <f>$AF$3 * Z4 * AA4 * AB4 * AC4</f>
        <v>2.1066352860042686E-5</v>
      </c>
      <c r="AK4" s="7" t="str">
        <f t="shared" si="2"/>
        <v>SEHAT</v>
      </c>
      <c r="AM4" s="17" t="s">
        <v>33</v>
      </c>
      <c r="AN4" s="16" t="s">
        <v>38</v>
      </c>
    </row>
    <row r="5" spans="1:42" x14ac:dyDescent="0.25">
      <c r="A5" s="10">
        <v>0</v>
      </c>
      <c r="B5" s="10">
        <v>13.3</v>
      </c>
      <c r="C5" s="10">
        <v>19.100000000000001</v>
      </c>
      <c r="D5" s="10">
        <v>30.9</v>
      </c>
      <c r="E5" s="10">
        <v>97.9</v>
      </c>
      <c r="F5" s="10">
        <v>0</v>
      </c>
      <c r="G5" s="15"/>
      <c r="H5" s="10">
        <v>0</v>
      </c>
      <c r="I5" s="10">
        <v>11.7</v>
      </c>
      <c r="J5" s="10">
        <v>16.8</v>
      </c>
      <c r="K5" s="10">
        <v>32.200000000000003</v>
      </c>
      <c r="L5" s="10">
        <v>73.599999999999994</v>
      </c>
      <c r="M5" s="10">
        <v>1</v>
      </c>
      <c r="O5" s="4" t="s">
        <v>10</v>
      </c>
      <c r="P5" s="6">
        <f>AVERAGE(B58:B109)</f>
        <v>11.86538461538462</v>
      </c>
      <c r="Q5" s="6">
        <f>AVERAGE(C58:C109)</f>
        <v>22.351923076923075</v>
      </c>
      <c r="R5" s="6">
        <f t="shared" ref="R5" si="3">AVERAGE(D58:D109)</f>
        <v>30.12307692307693</v>
      </c>
      <c r="S5" s="6">
        <f>AVERAGE(E58:E109)</f>
        <v>86.653846153846132</v>
      </c>
      <c r="U5" s="14">
        <f>_xlfn.NORM.DIST(I4,$P$2,$P$3,FALSE)</f>
        <v>1.0927676079834869E-2</v>
      </c>
      <c r="V5" s="14">
        <f>_xlfn.NORM.DIST(J4,$Q$2,$Q$3,FALSE)</f>
        <v>5.3663101396388579E-2</v>
      </c>
      <c r="W5" s="14">
        <f>_xlfn.NORM.DIST(K4,$R$2,$R$3,FALSE)</f>
        <v>0.14134082598061617</v>
      </c>
      <c r="X5" s="7">
        <f>_xlfn.NORM.DIST(L4,$S$2,$S$3,FALSE)</f>
        <v>2.3730430377964941E-2</v>
      </c>
      <c r="Z5" s="16">
        <f>_xlfn.NORM.DIST(I4,$P$5,$P$6,FALSE)</f>
        <v>0.33673729478962217</v>
      </c>
      <c r="AA5" s="16">
        <f>_xlfn.NORM.DIST(J4,$Q$5,$Q$6,FALSE)</f>
        <v>3.9356226362266288E-2</v>
      </c>
      <c r="AB5" s="16">
        <f>_xlfn.NORM.DIST(K4,$R$5,$R$6,FALSE)</f>
        <v>0.10095777634474051</v>
      </c>
      <c r="AC5" s="16">
        <f>_xlfn.NORM.DIST(L4,$S$5,$S$6,FALSE)</f>
        <v>2.6358390637584054E-2</v>
      </c>
      <c r="AH5" s="7">
        <f>$AF$2 * U5 * V5 * W5 * X5</f>
        <v>1.0198612545980076E-6</v>
      </c>
      <c r="AI5" s="7">
        <f>$AF$3 * Z5 * AA5 * AB5 * AC5</f>
        <v>1.6980204761880601E-5</v>
      </c>
      <c r="AK5" s="7" t="str">
        <f t="shared" si="2"/>
        <v>SEHAT</v>
      </c>
    </row>
    <row r="6" spans="1:42" x14ac:dyDescent="0.25">
      <c r="A6" s="10">
        <v>1</v>
      </c>
      <c r="B6" s="10">
        <v>16.100000000000001</v>
      </c>
      <c r="C6" s="10">
        <v>21.9</v>
      </c>
      <c r="D6" s="10">
        <v>32.5</v>
      </c>
      <c r="E6" s="10">
        <v>100.7</v>
      </c>
      <c r="F6" s="10">
        <v>0</v>
      </c>
      <c r="G6" s="15"/>
      <c r="H6" s="10">
        <v>0</v>
      </c>
      <c r="I6" s="10">
        <v>16.399999999999999</v>
      </c>
      <c r="J6" s="10">
        <v>27.2</v>
      </c>
      <c r="K6" s="10">
        <v>31.4</v>
      </c>
      <c r="L6" s="10">
        <v>70.599999999999994</v>
      </c>
      <c r="M6" s="10">
        <v>0</v>
      </c>
      <c r="O6" s="4" t="s">
        <v>11</v>
      </c>
      <c r="P6" s="7">
        <f>_xlfn.STDEV.S(B58:B109)</f>
        <v>0.90312846574616679</v>
      </c>
      <c r="Q6" s="7">
        <f t="shared" ref="Q6:S6" si="4">_xlfn.STDEV.S(C58:C109)</f>
        <v>3.9892252127309358</v>
      </c>
      <c r="R6" s="7">
        <f t="shared" si="4"/>
        <v>1.483981843424601</v>
      </c>
      <c r="S6" s="7">
        <f t="shared" si="4"/>
        <v>9.7317241794699836</v>
      </c>
      <c r="U6" s="14">
        <f>_xlfn.NORM.DIST(I5,$P$2,$P$3,FALSE)</f>
        <v>2.622146942827483E-2</v>
      </c>
      <c r="V6" s="14">
        <f>_xlfn.NORM.DIST(J5,$Q$2,$Q$3,FALSE)</f>
        <v>2.2762638993813457E-2</v>
      </c>
      <c r="W6" s="14">
        <f>_xlfn.NORM.DIST(K5,$R$2,$R$3,FALSE)</f>
        <v>0.14134082598061617</v>
      </c>
      <c r="X6" s="7">
        <f>_xlfn.NORM.DIST(L5,$S$2,$S$3,FALSE)</f>
        <v>1.9531820505948146E-2</v>
      </c>
      <c r="Z6" s="16">
        <f>_xlfn.NORM.DIST(I5,$P$5,$P$6,FALSE)</f>
        <v>0.43438880291191223</v>
      </c>
      <c r="AA6" s="16">
        <f>_xlfn.NORM.DIST(J5,$Q$5,$Q$6,FALSE)</f>
        <v>3.7968770124134986E-2</v>
      </c>
      <c r="AB6" s="16">
        <f>_xlfn.NORM.DIST(K5,$R$5,$R$6,FALSE)</f>
        <v>0.10095777634474051</v>
      </c>
      <c r="AC6" s="16">
        <f>_xlfn.NORM.DIST(L5,$S$5,$S$6,FALSE)</f>
        <v>1.6672963756130772E-2</v>
      </c>
      <c r="AH6" s="7">
        <f>$AF$2 * U6 * V6 * W6 * X6</f>
        <v>8.5438626335912573E-7</v>
      </c>
      <c r="AI6" s="7">
        <f>$AF$3 * Z6 * AA6 * AB6 * AC6</f>
        <v>1.3367103862093404E-5</v>
      </c>
      <c r="AK6" s="7" t="str">
        <f t="shared" si="2"/>
        <v>ANEMIA</v>
      </c>
    </row>
    <row r="7" spans="1:42" x14ac:dyDescent="0.25">
      <c r="A7" s="10">
        <v>0</v>
      </c>
      <c r="B7" s="10">
        <v>15.8</v>
      </c>
      <c r="C7" s="10">
        <v>25.5</v>
      </c>
      <c r="D7" s="10">
        <v>28.9</v>
      </c>
      <c r="E7" s="10">
        <v>72.599999999999994</v>
      </c>
      <c r="F7" s="10">
        <v>0</v>
      </c>
      <c r="G7" s="15"/>
      <c r="H7" s="10">
        <v>0</v>
      </c>
      <c r="I7" s="10">
        <v>15.5</v>
      </c>
      <c r="J7" s="10">
        <v>19.3</v>
      </c>
      <c r="K7" s="10">
        <v>32.5</v>
      </c>
      <c r="L7" s="10">
        <v>97.5</v>
      </c>
      <c r="M7" s="10">
        <v>0</v>
      </c>
      <c r="U7" s="14">
        <f>_xlfn.NORM.DIST(I6,$P$2,$P$3,FALSE)</f>
        <v>0.13299793924175354</v>
      </c>
      <c r="V7" s="14">
        <f>_xlfn.NORM.DIST(J6,$Q$2,$Q$3,FALSE)</f>
        <v>6.37937384467714E-2</v>
      </c>
      <c r="W7" s="14">
        <f>_xlfn.NORM.DIST(K6,$R$2,$R$3,FALSE)</f>
        <v>0.21910148229849283</v>
      </c>
      <c r="X7" s="7">
        <f>_xlfn.NORM.DIST(L6,$S$2,$S$3,FALSE)</f>
        <v>1.3181468857120593E-2</v>
      </c>
      <c r="Z7" s="16">
        <f>_xlfn.NORM.DIST(I6,$P$5,$P$6,FALSE)</f>
        <v>1.4817163133591624E-6</v>
      </c>
      <c r="AA7" s="16">
        <f>_xlfn.NORM.DIST(J6,$Q$5,$Q$6,FALSE)</f>
        <v>4.778689060051957E-2</v>
      </c>
      <c r="AB7" s="16">
        <f>_xlfn.NORM.DIST(K6,$R$5,$R$6,FALSE)</f>
        <v>0.1856536457293162</v>
      </c>
      <c r="AC7" s="16">
        <f>_xlfn.NORM.DIST(L6,$S$5,$S$6,FALSE)</f>
        <v>1.0514642452587472E-2</v>
      </c>
      <c r="AH7" s="7">
        <f>$AF$2 * U7 * V7 * W7 * X7</f>
        <v>1.2705634571804494E-5</v>
      </c>
      <c r="AI7" s="7">
        <f>$AF$3 * Z7 * AA7 * AB7 * AC7</f>
        <v>6.6550514064750605E-11</v>
      </c>
      <c r="AK7" s="7" t="str">
        <f t="shared" si="2"/>
        <v>ANEMIA</v>
      </c>
      <c r="AM7" s="17" t="s">
        <v>30</v>
      </c>
      <c r="AN7" s="17" t="s">
        <v>31</v>
      </c>
      <c r="AO7" s="17" t="s">
        <v>32</v>
      </c>
      <c r="AP7" s="17" t="s">
        <v>33</v>
      </c>
    </row>
    <row r="8" spans="1:42" x14ac:dyDescent="0.25">
      <c r="A8" s="10">
        <v>1</v>
      </c>
      <c r="B8" s="10">
        <v>16.8</v>
      </c>
      <c r="C8" s="10">
        <v>22.7</v>
      </c>
      <c r="D8" s="10">
        <v>32</v>
      </c>
      <c r="E8" s="10">
        <v>94.3</v>
      </c>
      <c r="F8" s="10">
        <v>0</v>
      </c>
      <c r="G8" s="15"/>
      <c r="H8" s="10">
        <v>0</v>
      </c>
      <c r="I8" s="10">
        <v>13.3</v>
      </c>
      <c r="J8" s="10">
        <v>19.100000000000001</v>
      </c>
      <c r="K8" s="10">
        <v>30.9</v>
      </c>
      <c r="L8" s="10">
        <v>97.9</v>
      </c>
      <c r="M8" s="10">
        <v>0</v>
      </c>
      <c r="U8" s="14">
        <f>_xlfn.NORM.DIST(I7,$P$2,$P$3,FALSE)</f>
        <v>0.2455528129044415</v>
      </c>
      <c r="V8" s="14">
        <f>_xlfn.NORM.DIST(J7,$Q$2,$Q$3,FALSE)</f>
        <v>5.8453680385663065E-2</v>
      </c>
      <c r="W8" s="14">
        <f>_xlfn.NORM.DIST(K7,$R$2,$R$3,FALSE)</f>
        <v>0.11182704665325215</v>
      </c>
      <c r="X8" s="7">
        <f>_xlfn.NORM.DIST(L7,$S$2,$S$3,FALSE)</f>
        <v>1.97760822524547E-2</v>
      </c>
      <c r="Z8" s="16">
        <f>_xlfn.NORM.DIST(I7,$P$5,$P$6,FALSE)</f>
        <v>1.3432662505447092E-4</v>
      </c>
      <c r="AA8" s="16">
        <f>_xlfn.NORM.DIST(J7,$Q$5,$Q$6,FALSE)</f>
        <v>7.4632451723530654E-2</v>
      </c>
      <c r="AB8" s="16">
        <f>_xlfn.NORM.DIST(K7,$R$5,$R$6,FALSE)</f>
        <v>7.4539911265096903E-2</v>
      </c>
      <c r="AC8" s="16">
        <f>_xlfn.NORM.DIST(L7,$S$5,$S$6,FALSE)</f>
        <v>2.2028865786750125E-2</v>
      </c>
      <c r="AH8" s="7">
        <f>$AF$2 * U8 * V8 * W8 * X8</f>
        <v>1.6459178709008467E-5</v>
      </c>
      <c r="AI8" s="7">
        <f>$AF$3 * Z8 * AA8 * AB8 * AC8</f>
        <v>7.9259332132747048E-9</v>
      </c>
      <c r="AK8" s="7" t="str">
        <f t="shared" si="2"/>
        <v>ANEMIA</v>
      </c>
      <c r="AM8" s="16">
        <f>COUNTIFS(F:F, 0, AK:AK, "SEHAT")</f>
        <v>28</v>
      </c>
      <c r="AN8" s="16">
        <f>COUNTIFS(F:F, 0, AK:AK, "ANEMIA")</f>
        <v>28</v>
      </c>
      <c r="AO8" s="16">
        <f>COUNTIFS(F:F, 1, AK:AK, "SEHAT")</f>
        <v>25</v>
      </c>
      <c r="AP8" s="16">
        <f>COUNTIFS(F:F, 1, AK:AK, "ANEMIA")</f>
        <v>27</v>
      </c>
    </row>
    <row r="9" spans="1:42" x14ac:dyDescent="0.25">
      <c r="A9" s="10">
        <v>0</v>
      </c>
      <c r="B9" s="10">
        <v>12.5</v>
      </c>
      <c r="C9" s="10">
        <v>29.7</v>
      </c>
      <c r="D9" s="10">
        <v>30.6</v>
      </c>
      <c r="E9" s="10">
        <v>90.5</v>
      </c>
      <c r="F9" s="10">
        <v>0</v>
      </c>
      <c r="G9" s="15"/>
      <c r="H9" s="10">
        <v>1</v>
      </c>
      <c r="I9" s="10">
        <v>16.100000000000001</v>
      </c>
      <c r="J9" s="10">
        <v>21.9</v>
      </c>
      <c r="K9" s="10">
        <v>32.5</v>
      </c>
      <c r="L9" s="10">
        <v>100.7</v>
      </c>
      <c r="M9" s="10">
        <v>0</v>
      </c>
      <c r="U9" s="14">
        <f>_xlfn.NORM.DIST(I8,$P$2,$P$3,FALSE)</f>
        <v>0.17409067430398742</v>
      </c>
      <c r="V9" s="14">
        <f>_xlfn.NORM.DIST(J8,$Q$2,$Q$3,FALSE)</f>
        <v>5.5090756147939311E-2</v>
      </c>
      <c r="W9" s="14">
        <f>_xlfn.NORM.DIST(K8,$R$2,$R$3,FALSE)</f>
        <v>0.25112628154109884</v>
      </c>
      <c r="X9" s="7">
        <f>_xlfn.NORM.DIST(L8,$S$2,$S$3,FALSE)</f>
        <v>1.8868724574796679E-2</v>
      </c>
      <c r="Z9" s="16">
        <f>_xlfn.NORM.DIST(I8,$P$5,$P$6,FALSE)</f>
        <v>0.1250918726783207</v>
      </c>
      <c r="AA9" s="16">
        <f>_xlfn.NORM.DIST(J8,$Q$5,$Q$6,FALSE)</f>
        <v>7.1733887502724719E-2</v>
      </c>
      <c r="AB9" s="16">
        <f>_xlfn.NORM.DIST(K8,$R$5,$R$6,FALSE)</f>
        <v>0.23440280971091859</v>
      </c>
      <c r="AC9" s="16">
        <f>_xlfn.NORM.DIST(L8,$S$5,$S$6,FALSE)</f>
        <v>2.1024730633805385E-2</v>
      </c>
      <c r="AH9" s="7">
        <f>$AF$2 * U9 * V9 * W9 * X9</f>
        <v>2.3564228396333862E-5</v>
      </c>
      <c r="AI9" s="7">
        <f>$AF$3 * Z9 * AA9 * AB9 * AC9</f>
        <v>2.129248270498661E-5</v>
      </c>
      <c r="AK9" s="7" t="str">
        <f t="shared" si="2"/>
        <v>ANEMIA</v>
      </c>
    </row>
    <row r="10" spans="1:42" x14ac:dyDescent="0.25">
      <c r="A10" s="10">
        <v>1</v>
      </c>
      <c r="B10" s="10">
        <v>14.8</v>
      </c>
      <c r="C10" s="10">
        <v>29.6</v>
      </c>
      <c r="D10" s="10">
        <v>31.7</v>
      </c>
      <c r="E10" s="10">
        <v>91.6</v>
      </c>
      <c r="F10" s="10">
        <v>0</v>
      </c>
      <c r="G10" s="15"/>
      <c r="H10" s="10">
        <v>0</v>
      </c>
      <c r="I10" s="10">
        <v>11.1</v>
      </c>
      <c r="J10" s="10">
        <v>24.7</v>
      </c>
      <c r="K10" s="10">
        <v>32.1</v>
      </c>
      <c r="L10" s="10">
        <v>96.7</v>
      </c>
      <c r="M10" s="10">
        <v>1</v>
      </c>
      <c r="U10" s="14">
        <f>_xlfn.NORM.DIST(I9,$P$2,$P$3,FALSE)</f>
        <v>0.17129099232458947</v>
      </c>
      <c r="V10" s="14">
        <f>_xlfn.NORM.DIST(J9,$Q$2,$Q$3,FALSE)</f>
        <v>9.7728586685426791E-2</v>
      </c>
      <c r="W10" s="14">
        <f>_xlfn.NORM.DIST(K9,$R$2,$R$3,FALSE)</f>
        <v>0.11182704665325215</v>
      </c>
      <c r="X10" s="7">
        <f>_xlfn.NORM.DIST(L9,$S$2,$S$3,FALSE)</f>
        <v>1.300386462414233E-2</v>
      </c>
      <c r="Z10" s="16">
        <f>_xlfn.NORM.DIST(I9,$P$5,$P$6,FALSE)</f>
        <v>7.4327915072649045E-6</v>
      </c>
      <c r="AA10" s="16">
        <f>_xlfn.NORM.DIST(J9,$Q$5,$Q$6,FALSE)</f>
        <v>9.9365290779833845E-2</v>
      </c>
      <c r="AB10" s="16">
        <f>_xlfn.NORM.DIST(K9,$R$5,$R$6,FALSE)</f>
        <v>7.4539911265096903E-2</v>
      </c>
      <c r="AC10" s="16">
        <f>_xlfn.NORM.DIST(L9,$S$5,$S$6,FALSE)</f>
        <v>1.4466206875849496E-2</v>
      </c>
      <c r="AH10" s="7">
        <f>$AF$2 * U10 * V10 * W10 * X10</f>
        <v>1.2622335226451284E-5</v>
      </c>
      <c r="AI10" s="7">
        <f>$AF$3 * Z10 * AA10 * AB10 * AC10</f>
        <v>3.8345092493534156E-10</v>
      </c>
      <c r="AK10" s="7" t="str">
        <f t="shared" si="2"/>
        <v>SEHAT</v>
      </c>
      <c r="AM10" s="17" t="s">
        <v>34</v>
      </c>
      <c r="AN10" s="17" t="s">
        <v>27</v>
      </c>
      <c r="AO10" s="17" t="s">
        <v>28</v>
      </c>
      <c r="AP10" s="17" t="s">
        <v>29</v>
      </c>
    </row>
    <row r="11" spans="1:42" x14ac:dyDescent="0.25">
      <c r="A11" s="10">
        <v>0</v>
      </c>
      <c r="B11" s="10">
        <v>14.8</v>
      </c>
      <c r="C11" s="10">
        <v>16.2</v>
      </c>
      <c r="D11" s="10">
        <v>28.9</v>
      </c>
      <c r="E11" s="10">
        <v>75.8</v>
      </c>
      <c r="F11" s="10">
        <v>0</v>
      </c>
      <c r="G11" s="15"/>
      <c r="H11" s="10">
        <v>1</v>
      </c>
      <c r="I11" s="10">
        <v>10.8</v>
      </c>
      <c r="J11" s="10">
        <v>19.8</v>
      </c>
      <c r="K11" s="10">
        <v>30.8</v>
      </c>
      <c r="L11" s="10">
        <v>99.6</v>
      </c>
      <c r="M11" s="10">
        <v>1</v>
      </c>
      <c r="U11" s="14">
        <f>_xlfn.NORM.DIST(I10,$P$2,$P$3,FALSE)</f>
        <v>9.0252863212512864E-3</v>
      </c>
      <c r="V11" s="14">
        <f>_xlfn.NORM.DIST(J10,$Q$2,$Q$3,FALSE)</f>
        <v>9.9815139348292975E-2</v>
      </c>
      <c r="W11" s="14">
        <f>_xlfn.NORM.DIST(K10,$R$2,$R$3,FALSE)</f>
        <v>0.15152988348792451</v>
      </c>
      <c r="X11" s="7">
        <f>_xlfn.NORM.DIST(L10,$S$2,$S$3,FALSE)</f>
        <v>2.1622812268698902E-2</v>
      </c>
      <c r="Z11" s="16">
        <f>_xlfn.NORM.DIST(I10,$P$5,$P$6,FALSE)</f>
        <v>0.30846081511684986</v>
      </c>
      <c r="AA11" s="16">
        <f>_xlfn.NORM.DIST(J10,$Q$5,$Q$6,FALSE)</f>
        <v>8.4098769717847993E-2</v>
      </c>
      <c r="AB11" s="16">
        <f>_xlfn.NORM.DIST(K10,$R$5,$R$6,FALSE)</f>
        <v>0.1106910637463223</v>
      </c>
      <c r="AC11" s="16">
        <f>_xlfn.NORM.DIST(L10,$S$5,$S$6,FALSE)</f>
        <v>2.4061040200139341E-2</v>
      </c>
      <c r="AH11" s="7">
        <f>$AF$2 * U11 * V11 * W11 * X11</f>
        <v>1.5304958082310624E-6</v>
      </c>
      <c r="AI11" s="7">
        <f>$AF$3 * Z11 * AA11 * AB11 * AC11</f>
        <v>3.3265663672973288E-5</v>
      </c>
      <c r="AK11" s="7" t="str">
        <f t="shared" si="2"/>
        <v>SEHAT</v>
      </c>
      <c r="AM11" s="16">
        <f>(AM8+AP8) / COUNT(M:M)</f>
        <v>0.5092592592592593</v>
      </c>
      <c r="AN11" s="16">
        <f xml:space="preserve"> AP8 / (AP8 + AN8)</f>
        <v>0.49090909090909091</v>
      </c>
      <c r="AO11" s="16">
        <f xml:space="preserve"> AP8 / (AP8 + AO8)</f>
        <v>0.51923076923076927</v>
      </c>
      <c r="AP11" s="16">
        <f xml:space="preserve"> 2 * (AN11 * AO11) / (AN11 + AO11)</f>
        <v>0.50467289719626174</v>
      </c>
    </row>
    <row r="12" spans="1:42" x14ac:dyDescent="0.25">
      <c r="A12" s="10">
        <v>1</v>
      </c>
      <c r="B12" s="10">
        <v>15.5</v>
      </c>
      <c r="C12" s="10">
        <v>23.1</v>
      </c>
      <c r="D12" s="10">
        <v>29.1</v>
      </c>
      <c r="E12" s="10">
        <v>72.900000000000006</v>
      </c>
      <c r="F12" s="10">
        <v>0</v>
      </c>
      <c r="G12" s="15"/>
      <c r="H12" s="10">
        <v>0</v>
      </c>
      <c r="I12" s="10">
        <v>10.9</v>
      </c>
      <c r="J12" s="10">
        <v>28.6</v>
      </c>
      <c r="K12" s="10">
        <v>28.6</v>
      </c>
      <c r="L12" s="10">
        <v>84.8</v>
      </c>
      <c r="M12" s="10">
        <v>1</v>
      </c>
      <c r="U12" s="14">
        <f>_xlfn.NORM.DIST(I11,$P$2,$P$3,FALSE)</f>
        <v>4.9224186838897404E-3</v>
      </c>
      <c r="V12" s="14">
        <f>_xlfn.NORM.DIST(J11,$Q$2,$Q$3,FALSE)</f>
        <v>6.6956495184079243E-2</v>
      </c>
      <c r="W12" s="14">
        <f>_xlfn.NORM.DIST(K11,$R$2,$R$3,FALSE)</f>
        <v>0.25481626624612269</v>
      </c>
      <c r="X12" s="7">
        <f>_xlfn.NORM.DIST(L11,$S$2,$S$3,FALSE)</f>
        <v>1.5188935098214385E-2</v>
      </c>
      <c r="Z12" s="16">
        <f>_xlfn.NORM.DIST(I11,$P$5,$P$6,FALSE)</f>
        <v>0.22028193338094873</v>
      </c>
      <c r="AA12" s="16">
        <f>_xlfn.NORM.DIST(J11,$Q$5,$Q$6,FALSE)</f>
        <v>8.1500499743924537E-2</v>
      </c>
      <c r="AB12" s="16">
        <f>_xlfn.NORM.DIST(K11,$R$5,$R$6,FALSE)</f>
        <v>0.24226931078923061</v>
      </c>
      <c r="AC12" s="16">
        <f>_xlfn.NORM.DIST(L11,$S$5,$S$6,FALSE)</f>
        <v>1.6921262885283464E-2</v>
      </c>
      <c r="AH12" s="7">
        <f>$AF$2 * U12 * V12 * W12 * X12</f>
        <v>6.6143932054762453E-7</v>
      </c>
      <c r="AI12" s="7">
        <f>$AF$3 * Z12 * AA12 * AB12 * AC12</f>
        <v>3.5436426162127903E-5</v>
      </c>
      <c r="AK12" s="7" t="str">
        <f t="shared" si="2"/>
        <v>SEHAT</v>
      </c>
    </row>
    <row r="13" spans="1:42" x14ac:dyDescent="0.25">
      <c r="A13" s="10">
        <v>1</v>
      </c>
      <c r="B13" s="10">
        <v>15.9</v>
      </c>
      <c r="C13" s="10">
        <v>21.6</v>
      </c>
      <c r="D13" s="10">
        <v>32.4</v>
      </c>
      <c r="E13" s="10">
        <v>83.7</v>
      </c>
      <c r="F13" s="10">
        <v>0</v>
      </c>
      <c r="G13" s="15"/>
      <c r="H13" s="10">
        <v>0</v>
      </c>
      <c r="I13" s="10">
        <v>15.8</v>
      </c>
      <c r="J13" s="10">
        <v>25.5</v>
      </c>
      <c r="K13" s="10">
        <v>28.9</v>
      </c>
      <c r="L13" s="10">
        <v>72.599999999999994</v>
      </c>
      <c r="M13" s="10">
        <v>0</v>
      </c>
      <c r="U13" s="14">
        <f>_xlfn.NORM.DIST(I12,$P$2,$P$3,FALSE)</f>
        <v>6.0574014505633553E-3</v>
      </c>
      <c r="V13" s="14">
        <f>_xlfn.NORM.DIST(J12,$Q$2,$Q$3,FALSE)</f>
        <v>4.096501299452663E-2</v>
      </c>
      <c r="W13" s="14">
        <f>_xlfn.NORM.DIST(K12,$R$2,$R$3,FALSE)</f>
        <v>0.12037879775916514</v>
      </c>
      <c r="X13" s="7">
        <f>_xlfn.NORM.DIST(L12,$S$2,$S$3,FALSE)</f>
        <v>3.9182217216158631E-2</v>
      </c>
      <c r="Z13" s="16">
        <f>_xlfn.NORM.DIST(I12,$P$5,$P$6,FALSE)</f>
        <v>0.24948465134259415</v>
      </c>
      <c r="AA13" s="16">
        <f>_xlfn.NORM.DIST(J12,$Q$5,$Q$6,FALSE)</f>
        <v>2.9331694762629496E-2</v>
      </c>
      <c r="AB13" s="16">
        <f>_xlfn.NORM.DIST(K12,$R$5,$R$6,FALSE)</f>
        <v>0.15876039220743798</v>
      </c>
      <c r="AC13" s="16">
        <f>_xlfn.NORM.DIST(L12,$S$5,$S$6,FALSE)</f>
        <v>4.0256901854271165E-2</v>
      </c>
      <c r="AH13" s="7">
        <f>$AF$2 * U13 * V13 * W13 * X13</f>
        <v>6.0687987408460749E-7</v>
      </c>
      <c r="AI13" s="7">
        <f>$AF$3 * Z13 * AA13 * AB13 * AC13</f>
        <v>2.2518688290983961E-5</v>
      </c>
      <c r="AK13" s="7" t="str">
        <f t="shared" si="2"/>
        <v>ANEMIA</v>
      </c>
    </row>
    <row r="14" spans="1:42" x14ac:dyDescent="0.25">
      <c r="A14" s="10">
        <v>1</v>
      </c>
      <c r="B14" s="10">
        <v>16.7</v>
      </c>
      <c r="C14" s="10">
        <v>22.8</v>
      </c>
      <c r="D14" s="10">
        <v>32.5</v>
      </c>
      <c r="E14" s="10">
        <v>81.900000000000006</v>
      </c>
      <c r="F14" s="10">
        <v>0</v>
      </c>
      <c r="G14" s="15"/>
      <c r="H14" s="10">
        <v>1</v>
      </c>
      <c r="I14" s="10">
        <v>13.3</v>
      </c>
      <c r="J14" s="10">
        <v>28.5</v>
      </c>
      <c r="K14" s="10">
        <v>29</v>
      </c>
      <c r="L14" s="10">
        <v>87.7</v>
      </c>
      <c r="M14" s="10">
        <v>1</v>
      </c>
      <c r="U14" s="14">
        <f>_xlfn.NORM.DIST(I13,$P$2,$P$3,FALSE)</f>
        <v>0.21013635394105762</v>
      </c>
      <c r="V14" s="14">
        <f>_xlfn.NORM.DIST(J13,$Q$2,$Q$3,FALSE)</f>
        <v>9.0735816670040687E-2</v>
      </c>
      <c r="W14" s="14">
        <f>_xlfn.NORM.DIST(K13,$R$2,$R$3,FALSE)</f>
        <v>0.15043441803696656</v>
      </c>
      <c r="X14" s="7">
        <f>_xlfn.NORM.DIST(L13,$S$2,$S$3,FALSE)</f>
        <v>1.7299440888430159E-2</v>
      </c>
      <c r="Z14" s="16">
        <f>_xlfn.NORM.DIST(I13,$P$5,$P$6,FALSE)</f>
        <v>3.3390093189010596E-5</v>
      </c>
      <c r="AA14" s="16">
        <f>_xlfn.NORM.DIST(J13,$Q$5,$Q$6,FALSE)</f>
        <v>7.3247553024060538E-2</v>
      </c>
      <c r="AB14" s="16">
        <f>_xlfn.NORM.DIST(K13,$R$5,$R$6,FALSE)</f>
        <v>0.19141553302836742</v>
      </c>
      <c r="AC14" s="16">
        <f>_xlfn.NORM.DIST(L13,$S$5,$S$6,FALSE)</f>
        <v>1.4449707774877111E-2</v>
      </c>
      <c r="AH14" s="7">
        <f>$AF$2 * U14 * V14 * W14 * X14</f>
        <v>2.5729034775100518E-5</v>
      </c>
      <c r="AI14" s="7">
        <f>$AF$3 * Z14 * AA14 * AB14 * AC14</f>
        <v>3.2570661675610814E-9</v>
      </c>
      <c r="AK14" s="7" t="str">
        <f t="shared" si="2"/>
        <v>ANEMIA</v>
      </c>
    </row>
    <row r="15" spans="1:42" x14ac:dyDescent="0.25">
      <c r="A15" s="10">
        <v>0</v>
      </c>
      <c r="B15" s="10">
        <v>13.3</v>
      </c>
      <c r="C15" s="10">
        <v>26.3</v>
      </c>
      <c r="D15" s="10">
        <v>30</v>
      </c>
      <c r="E15" s="10">
        <v>100</v>
      </c>
      <c r="F15" s="10">
        <v>0</v>
      </c>
      <c r="G15" s="15"/>
      <c r="H15" s="10">
        <v>1</v>
      </c>
      <c r="I15" s="10">
        <v>16.8</v>
      </c>
      <c r="J15" s="10">
        <v>22.7</v>
      </c>
      <c r="K15" s="10">
        <v>32</v>
      </c>
      <c r="L15" s="10">
        <v>94.3</v>
      </c>
      <c r="M15" s="10">
        <v>0</v>
      </c>
      <c r="U15" s="14">
        <f>_xlfn.NORM.DIST(I14,$P$2,$P$3,FALSE)</f>
        <v>0.17409067430398742</v>
      </c>
      <c r="V15" s="14">
        <f>_xlfn.NORM.DIST(J14,$Q$2,$Q$3,FALSE)</f>
        <v>4.2475776226069545E-2</v>
      </c>
      <c r="W15" s="14">
        <f>_xlfn.NORM.DIST(K14,$R$2,$R$3,FALSE)</f>
        <v>0.16067070068101222</v>
      </c>
      <c r="X15" s="7">
        <f>_xlfn.NORM.DIST(L14,$S$2,$S$3,FALSE)</f>
        <v>3.8475668411253848E-2</v>
      </c>
      <c r="Z15" s="16">
        <f>_xlfn.NORM.DIST(I14,$P$5,$P$6,FALSE)</f>
        <v>0.1250918726783207</v>
      </c>
      <c r="AA15" s="16">
        <f>_xlfn.NORM.DIST(J14,$Q$5,$Q$6,FALSE)</f>
        <v>3.0496630060605E-2</v>
      </c>
      <c r="AB15" s="16">
        <f>_xlfn.NORM.DIST(K14,$R$5,$R$6,FALSE)</f>
        <v>0.20188838382383636</v>
      </c>
      <c r="AC15" s="16">
        <f>_xlfn.NORM.DIST(L14,$S$5,$S$6,FALSE)</f>
        <v>4.0757815377454758E-2</v>
      </c>
      <c r="AH15" s="7">
        <f>$AF$2 * U15 * V15 * W15 * X15</f>
        <v>2.3703035339262736E-5</v>
      </c>
      <c r="AI15" s="7">
        <f>$AF$3 * Z15 * AA15 * AB15 * AC15</f>
        <v>1.5114116414668784E-5</v>
      </c>
      <c r="AK15" s="7" t="str">
        <f t="shared" si="2"/>
        <v>ANEMIA</v>
      </c>
    </row>
    <row r="16" spans="1:42" x14ac:dyDescent="0.25">
      <c r="A16" s="10">
        <v>0</v>
      </c>
      <c r="B16" s="10">
        <v>13.8</v>
      </c>
      <c r="C16" s="10">
        <v>21</v>
      </c>
      <c r="D16" s="10">
        <v>28.6</v>
      </c>
      <c r="E16" s="10">
        <v>80.8</v>
      </c>
      <c r="F16" s="10">
        <v>0</v>
      </c>
      <c r="G16" s="15"/>
      <c r="H16" s="10">
        <v>1</v>
      </c>
      <c r="I16" s="10">
        <v>11.1</v>
      </c>
      <c r="J16" s="10">
        <v>28</v>
      </c>
      <c r="K16" s="10">
        <v>30.8</v>
      </c>
      <c r="L16" s="10">
        <v>77.3</v>
      </c>
      <c r="M16" s="10">
        <v>1</v>
      </c>
      <c r="U16" s="14">
        <f>_xlfn.NORM.DIST(I15,$P$2,$P$3,FALSE)</f>
        <v>8.7996927894378255E-2</v>
      </c>
      <c r="V16" s="14">
        <f>_xlfn.NORM.DIST(J15,$Q$2,$Q$3,FALSE)</f>
        <v>0.1040181488449403</v>
      </c>
      <c r="W16" s="14">
        <f>_xlfn.NORM.DIST(K15,$R$2,$R$3,FALSE)</f>
        <v>0.16176733252409317</v>
      </c>
      <c r="X16" s="7">
        <f>_xlfn.NORM.DIST(L15,$S$2,$S$3,FALSE)</f>
        <v>2.7229511054356285E-2</v>
      </c>
      <c r="Z16" s="16">
        <f>_xlfn.NORM.DIST(I15,$P$5,$P$6,FALSE)</f>
        <v>1.4533552246717815E-7</v>
      </c>
      <c r="AA16" s="16">
        <f>_xlfn.NORM.DIST(J15,$Q$5,$Q$6,FALSE)</f>
        <v>9.962499255921399E-2</v>
      </c>
      <c r="AB16" s="16">
        <f>_xlfn.NORM.DIST(K15,$R$5,$R$6,FALSE)</f>
        <v>0.12081288458259583</v>
      </c>
      <c r="AC16" s="16">
        <f>_xlfn.NORM.DIST(L15,$S$5,$S$6,FALSE)</f>
        <v>3.0107322382473937E-2</v>
      </c>
      <c r="AH16" s="7">
        <f>$AF$2 * U16 * V16 * W16 * X16</f>
        <v>2.0906030030138298E-5</v>
      </c>
      <c r="AI16" s="7">
        <f>$AF$3 * Z16 * AA16 * AB16 * AC16</f>
        <v>2.5357419363729801E-11</v>
      </c>
      <c r="AK16" s="7" t="str">
        <f t="shared" si="2"/>
        <v>SEHAT</v>
      </c>
    </row>
    <row r="17" spans="1:37" x14ac:dyDescent="0.25">
      <c r="A17" s="10">
        <v>0</v>
      </c>
      <c r="B17" s="10">
        <v>12.3</v>
      </c>
      <c r="C17" s="10">
        <v>23</v>
      </c>
      <c r="D17" s="10">
        <v>29.3</v>
      </c>
      <c r="E17" s="10">
        <v>85.8</v>
      </c>
      <c r="F17" s="10">
        <v>0</v>
      </c>
      <c r="G17" s="15"/>
      <c r="H17" s="10">
        <v>0</v>
      </c>
      <c r="I17" s="10">
        <v>12.5</v>
      </c>
      <c r="J17" s="10">
        <v>29.7</v>
      </c>
      <c r="K17" s="10">
        <v>30.6</v>
      </c>
      <c r="L17" s="10">
        <v>90.5</v>
      </c>
      <c r="M17" s="10">
        <v>0</v>
      </c>
      <c r="U17" s="14">
        <f>_xlfn.NORM.DIST(I16,$P$2,$P$3,FALSE)</f>
        <v>9.0252863212512864E-3</v>
      </c>
      <c r="V17" s="14">
        <f>_xlfn.NORM.DIST(J16,$Q$2,$Q$3,FALSE)</f>
        <v>5.0372680359375893E-2</v>
      </c>
      <c r="W17" s="14">
        <f>_xlfn.NORM.DIST(K16,$R$2,$R$3,FALSE)</f>
        <v>0.25481626624612269</v>
      </c>
      <c r="X17" s="7">
        <f>_xlfn.NORM.DIST(L16,$S$2,$S$3,FALSE)</f>
        <v>2.8126590908708841E-2</v>
      </c>
      <c r="Z17" s="16">
        <f>_xlfn.NORM.DIST(I16,$P$5,$P$6,FALSE)</f>
        <v>0.30846081511684986</v>
      </c>
      <c r="AA17" s="16">
        <f>_xlfn.NORM.DIST(J16,$Q$5,$Q$6,FALSE)</f>
        <v>3.6705554599959216E-2</v>
      </c>
      <c r="AB17" s="16">
        <f>_xlfn.NORM.DIST(K16,$R$5,$R$6,FALSE)</f>
        <v>0.24226931078923061</v>
      </c>
      <c r="AC17" s="16">
        <f>_xlfn.NORM.DIST(L16,$S$5,$S$6,FALSE)</f>
        <v>2.582908808359425E-2</v>
      </c>
      <c r="AH17" s="7">
        <f>$AF$2 * U17 * V17 * W17 * X17</f>
        <v>1.6895247763364086E-6</v>
      </c>
      <c r="AI17" s="7">
        <f>$AF$3 * Z17 * AA17 * AB17 * AC17</f>
        <v>3.4112917001456412E-5</v>
      </c>
      <c r="AK17" s="7" t="str">
        <f t="shared" si="2"/>
        <v>SEHAT</v>
      </c>
    </row>
    <row r="18" spans="1:37" x14ac:dyDescent="0.25">
      <c r="A18" s="10">
        <v>0</v>
      </c>
      <c r="B18" s="10">
        <v>15</v>
      </c>
      <c r="C18" s="10">
        <v>21.8</v>
      </c>
      <c r="D18" s="10">
        <v>28.8</v>
      </c>
      <c r="E18" s="10">
        <v>95.2</v>
      </c>
      <c r="F18" s="10">
        <v>0</v>
      </c>
      <c r="G18" s="15"/>
      <c r="H18" s="10">
        <v>1</v>
      </c>
      <c r="I18" s="10">
        <v>12.5</v>
      </c>
      <c r="J18" s="10">
        <v>25.2</v>
      </c>
      <c r="K18" s="10">
        <v>28.3</v>
      </c>
      <c r="L18" s="10">
        <v>73.599999999999994</v>
      </c>
      <c r="M18" s="10">
        <v>1</v>
      </c>
      <c r="U18" s="14">
        <f>_xlfn.NORM.DIST(I17,$P$2,$P$3,FALSE)</f>
        <v>8.0319329728622962E-2</v>
      </c>
      <c r="V18" s="14">
        <f>_xlfn.NORM.DIST(J17,$Q$2,$Q$3,FALSE)</f>
        <v>2.625536375347573E-2</v>
      </c>
      <c r="W18" s="14">
        <f>_xlfn.NORM.DIST(K17,$R$2,$R$3,FALSE)</f>
        <v>0.25904947895438762</v>
      </c>
      <c r="X18" s="7">
        <f>_xlfn.NORM.DIST(L17,$S$2,$S$3,FALSE)</f>
        <v>3.4987666494898588E-2</v>
      </c>
      <c r="Z18" s="16">
        <f>_xlfn.NORM.DIST(I17,$P$5,$P$6,FALSE)</f>
        <v>0.34509635803193256</v>
      </c>
      <c r="AA18" s="16">
        <f>_xlfn.NORM.DIST(J17,$Q$5,$Q$6,FALSE)</f>
        <v>1.8334284386500217E-2</v>
      </c>
      <c r="AB18" s="16">
        <f>_xlfn.NORM.DIST(K17,$R$5,$R$6,FALSE)</f>
        <v>0.2553014666253684</v>
      </c>
      <c r="AC18" s="16">
        <f>_xlfn.NORM.DIST(L17,$S$5,$S$6,FALSE)</f>
        <v>3.7914247963176675E-2</v>
      </c>
      <c r="AH18" s="7">
        <f>$AF$2 * U18 * V18 * W18 * X18</f>
        <v>9.9106031929460479E-6</v>
      </c>
      <c r="AI18" s="7">
        <f>$AF$3 * Z18 * AA18 * AB18 * AC18</f>
        <v>2.9487617430485453E-5</v>
      </c>
      <c r="AK18" s="7" t="str">
        <f t="shared" si="2"/>
        <v>SEHAT</v>
      </c>
    </row>
    <row r="19" spans="1:37" x14ac:dyDescent="0.25">
      <c r="A19" s="10">
        <v>0</v>
      </c>
      <c r="B19" s="10">
        <v>16.8</v>
      </c>
      <c r="C19" s="10">
        <v>24.9</v>
      </c>
      <c r="D19" s="10">
        <v>32</v>
      </c>
      <c r="E19" s="10">
        <v>80.599999999999994</v>
      </c>
      <c r="F19" s="10">
        <v>0</v>
      </c>
      <c r="G19" s="15"/>
      <c r="H19" s="10">
        <v>0</v>
      </c>
      <c r="I19" s="10">
        <v>10.8</v>
      </c>
      <c r="J19" s="10">
        <v>19.7</v>
      </c>
      <c r="K19" s="10">
        <v>29.5</v>
      </c>
      <c r="L19" s="10">
        <v>93</v>
      </c>
      <c r="M19" s="10">
        <v>1</v>
      </c>
      <c r="U19" s="14">
        <f>_xlfn.NORM.DIST(I18,$P$2,$P$3,FALSE)</f>
        <v>8.0319329728622962E-2</v>
      </c>
      <c r="V19" s="14">
        <f>_xlfn.NORM.DIST(J18,$Q$2,$Q$3,FALSE)</f>
        <v>9.453749199151977E-2</v>
      </c>
      <c r="W19" s="14">
        <f>_xlfn.NORM.DIST(K18,$R$2,$R$3,FALSE)</f>
        <v>9.2727729977348294E-2</v>
      </c>
      <c r="X19" s="7">
        <f>_xlfn.NORM.DIST(L18,$S$2,$S$3,FALSE)</f>
        <v>1.9531820505948146E-2</v>
      </c>
      <c r="Z19" s="16">
        <f>_xlfn.NORM.DIST(I18,$P$5,$P$6,FALSE)</f>
        <v>0.34509635803193256</v>
      </c>
      <c r="AA19" s="16">
        <f>_xlfn.NORM.DIST(J18,$Q$5,$Q$6,FALSE)</f>
        <v>7.7506581748643E-2</v>
      </c>
      <c r="AB19" s="16">
        <f>_xlfn.NORM.DIST(K18,$R$5,$R$6,FALSE)</f>
        <v>0.12640327392529141</v>
      </c>
      <c r="AC19" s="16">
        <f>_xlfn.NORM.DIST(L18,$S$5,$S$6,FALSE)</f>
        <v>1.6672963756130772E-2</v>
      </c>
      <c r="AH19" s="7">
        <f>$AF$2 * U19 * V19 * W19 * X19</f>
        <v>7.1308413867708249E-6</v>
      </c>
      <c r="AI19" s="7">
        <f>$AF$3 * Z19 * AA19 * AB19 * AC19</f>
        <v>2.7141239451344617E-5</v>
      </c>
      <c r="AK19" s="7" t="str">
        <f t="shared" si="2"/>
        <v>SEHAT</v>
      </c>
    </row>
    <row r="20" spans="1:37" x14ac:dyDescent="0.25">
      <c r="A20" s="10">
        <v>0</v>
      </c>
      <c r="B20" s="10">
        <v>16.8</v>
      </c>
      <c r="C20" s="10">
        <v>22.3</v>
      </c>
      <c r="D20" s="10">
        <v>30.8</v>
      </c>
      <c r="E20" s="10">
        <v>76.7</v>
      </c>
      <c r="F20" s="10">
        <v>0</v>
      </c>
      <c r="G20" s="15"/>
      <c r="H20" s="10">
        <v>1</v>
      </c>
      <c r="I20" s="10">
        <v>10.5</v>
      </c>
      <c r="J20" s="10">
        <v>23</v>
      </c>
      <c r="K20" s="10">
        <v>30.4</v>
      </c>
      <c r="L20" s="10">
        <v>100.1</v>
      </c>
      <c r="M20" s="10">
        <v>1</v>
      </c>
      <c r="U20" s="14">
        <f>_xlfn.NORM.DIST(I19,$P$2,$P$3,FALSE)</f>
        <v>4.9224186838897404E-3</v>
      </c>
      <c r="V20" s="14">
        <f>_xlfn.NORM.DIST(J19,$Q$2,$Q$3,FALSE)</f>
        <v>6.5254158794868927E-2</v>
      </c>
      <c r="W20" s="14">
        <f>_xlfn.NORM.DIST(K19,$R$2,$R$3,FALSE)</f>
        <v>0.20956180622006423</v>
      </c>
      <c r="X20" s="7">
        <f>_xlfn.NORM.DIST(L19,$S$2,$S$3,FALSE)</f>
        <v>3.0139568335143353E-2</v>
      </c>
      <c r="Z20" s="16">
        <f>_xlfn.NORM.DIST(I19,$P$5,$P$6,FALSE)</f>
        <v>0.22028193338094873</v>
      </c>
      <c r="AA20" s="16">
        <f>_xlfn.NORM.DIST(J19,$Q$5,$Q$6,FALSE)</f>
        <v>8.0178802155335141E-2</v>
      </c>
      <c r="AB20" s="16">
        <f>_xlfn.NORM.DIST(K19,$R$5,$R$6,FALSE)</f>
        <v>0.24615050169404551</v>
      </c>
      <c r="AC20" s="16">
        <f>_xlfn.NORM.DIST(L19,$S$5,$S$6,FALSE)</f>
        <v>3.3142020905522547E-2</v>
      </c>
      <c r="AH20" s="7">
        <f>$AF$2 * U20 * V20 * W20 * X20</f>
        <v>1.0519623061053492E-6</v>
      </c>
      <c r="AI20" s="7">
        <f>$AF$3 * Z20 * AA20 * AB20 * AC20</f>
        <v>6.9374160964726699E-5</v>
      </c>
      <c r="AK20" s="7" t="str">
        <f t="shared" si="2"/>
        <v>SEHAT</v>
      </c>
    </row>
    <row r="21" spans="1:37" x14ac:dyDescent="0.25">
      <c r="A21" s="10">
        <v>1</v>
      </c>
      <c r="B21" s="10">
        <v>15.2</v>
      </c>
      <c r="C21" s="10">
        <v>24.9</v>
      </c>
      <c r="D21" s="10">
        <v>28.4</v>
      </c>
      <c r="E21" s="10">
        <v>90.1</v>
      </c>
      <c r="F21" s="10">
        <v>0</v>
      </c>
      <c r="G21" s="15"/>
      <c r="H21" s="10">
        <v>1</v>
      </c>
      <c r="I21" s="10">
        <v>11.9</v>
      </c>
      <c r="J21" s="10">
        <v>25.9</v>
      </c>
      <c r="K21" s="10">
        <v>32</v>
      </c>
      <c r="L21" s="10">
        <v>83.2</v>
      </c>
      <c r="M21" s="10">
        <v>1</v>
      </c>
      <c r="U21" s="14">
        <f>_xlfn.NORM.DIST(I20,$P$2,$P$3,FALSE)</f>
        <v>2.5572498760479965E-3</v>
      </c>
      <c r="V21" s="14">
        <f>_xlfn.NORM.DIST(J20,$Q$2,$Q$3,FALSE)</f>
        <v>0.10524968250958036</v>
      </c>
      <c r="W21" s="14">
        <f>_xlfn.NORM.DIST(K20,$R$2,$R$3,FALSE)</f>
        <v>0.25893203267701292</v>
      </c>
      <c r="X21" s="7">
        <f>_xlfn.NORM.DIST(L20,$S$2,$S$3,FALSE)</f>
        <v>1.417419363660714E-2</v>
      </c>
      <c r="Z21" s="16">
        <f>_xlfn.NORM.DIST(I20,$P$5,$P$6,FALSE)</f>
        <v>0.14087584987764912</v>
      </c>
      <c r="AA21" s="16">
        <f>_xlfn.NORM.DIST(J20,$Q$5,$Q$6,FALSE)</f>
        <v>9.8693945640895078E-2</v>
      </c>
      <c r="AB21" s="16">
        <f>_xlfn.NORM.DIST(K20,$R$5,$R$6,FALSE)</f>
        <v>0.26419211290119177</v>
      </c>
      <c r="AC21" s="16">
        <f>_xlfn.NORM.DIST(L20,$S$5,$S$6,FALSE)</f>
        <v>1.5782508603990844E-2</v>
      </c>
      <c r="AH21" s="7">
        <f>$AF$2 * U21 * V21 * W21 * X21</f>
        <v>5.1220330248321213E-7</v>
      </c>
      <c r="AI21" s="7">
        <f>$AF$3 * Z21 * AA21 * AB21 * AC21</f>
        <v>2.791274396622874E-5</v>
      </c>
      <c r="AK21" s="7" t="str">
        <f t="shared" si="2"/>
        <v>SEHAT</v>
      </c>
    </row>
    <row r="22" spans="1:37" x14ac:dyDescent="0.25">
      <c r="A22" s="10">
        <v>1</v>
      </c>
      <c r="B22" s="10">
        <v>16.100000000000001</v>
      </c>
      <c r="C22" s="10">
        <v>25.9</v>
      </c>
      <c r="D22" s="10">
        <v>31.7</v>
      </c>
      <c r="E22" s="10">
        <v>78</v>
      </c>
      <c r="F22" s="10">
        <v>0</v>
      </c>
      <c r="G22" s="15"/>
      <c r="H22" s="10">
        <v>1</v>
      </c>
      <c r="I22" s="10">
        <v>13.2</v>
      </c>
      <c r="J22" s="10">
        <v>17.8</v>
      </c>
      <c r="K22" s="10">
        <v>29.6</v>
      </c>
      <c r="L22" s="10">
        <v>71.2</v>
      </c>
      <c r="M22" s="10">
        <v>1</v>
      </c>
      <c r="U22" s="14">
        <f>_xlfn.NORM.DIST(I21,$P$2,$P$3,FALSE)</f>
        <v>3.5832718043281579E-2</v>
      </c>
      <c r="V22" s="14">
        <f>_xlfn.NORM.DIST(J21,$Q$2,$Q$3,FALSE)</f>
        <v>8.5060920977593726E-2</v>
      </c>
      <c r="W22" s="14">
        <f>_xlfn.NORM.DIST(K21,$R$2,$R$3,FALSE)</f>
        <v>0.16176733252409317</v>
      </c>
      <c r="X22" s="7">
        <f>_xlfn.NORM.DIST(L21,$S$2,$S$3,FALSE)</f>
        <v>3.8218431485456575E-2</v>
      </c>
      <c r="Z22" s="16">
        <f>_xlfn.NORM.DIST(I21,$P$5,$P$6,FALSE)</f>
        <v>0.44140935451309871</v>
      </c>
      <c r="AA22" s="16">
        <f>_xlfn.NORM.DIST(J21,$Q$5,$Q$6,FALSE)</f>
        <v>6.7335672932358953E-2</v>
      </c>
      <c r="AB22" s="16">
        <f>_xlfn.NORM.DIST(K21,$R$5,$R$6,FALSE)</f>
        <v>0.12081288458259583</v>
      </c>
      <c r="AC22" s="16">
        <f>_xlfn.NORM.DIST(L21,$S$5,$S$6,FALSE)</f>
        <v>3.8491851529428335E-2</v>
      </c>
      <c r="AH22" s="7">
        <f>$AF$2 * U22 * V22 * W22 * X22</f>
        <v>9.7709724308354229E-6</v>
      </c>
      <c r="AI22" s="7">
        <f>$AF$3 * Z22 * AA22 * AB22 * AC22</f>
        <v>6.6550049266745311E-5</v>
      </c>
      <c r="AK22" s="7" t="str">
        <f t="shared" si="2"/>
        <v>SEHAT</v>
      </c>
    </row>
    <row r="23" spans="1:37" x14ac:dyDescent="0.25">
      <c r="A23" s="10">
        <v>0</v>
      </c>
      <c r="B23" s="10">
        <v>16.600000000000001</v>
      </c>
      <c r="C23" s="10">
        <v>21.7</v>
      </c>
      <c r="D23" s="10">
        <v>30.8</v>
      </c>
      <c r="E23" s="10">
        <v>88.1</v>
      </c>
      <c r="F23" s="10">
        <v>0</v>
      </c>
      <c r="G23" s="15"/>
      <c r="H23" s="10">
        <v>1</v>
      </c>
      <c r="I23" s="10">
        <v>14.8</v>
      </c>
      <c r="J23" s="10">
        <v>29.6</v>
      </c>
      <c r="K23" s="10">
        <v>31.7</v>
      </c>
      <c r="L23" s="10">
        <v>91.6</v>
      </c>
      <c r="M23" s="10">
        <v>0</v>
      </c>
      <c r="U23" s="14">
        <f>_xlfn.NORM.DIST(I22,$P$2,$P$3,FALSE)</f>
        <v>0.16106291598809838</v>
      </c>
      <c r="V23" s="14">
        <f>_xlfn.NORM.DIST(J22,$Q$2,$Q$3,FALSE)</f>
        <v>3.4994138686593228E-2</v>
      </c>
      <c r="W23" s="14">
        <f>_xlfn.NORM.DIST(K22,$R$2,$R$3,FALSE)</f>
        <v>0.21820908779687426</v>
      </c>
      <c r="X23" s="7">
        <f>_xlfn.NORM.DIST(L22,$S$2,$S$3,FALSE)</f>
        <v>1.4360013820389796E-2</v>
      </c>
      <c r="Z23" s="16">
        <f>_xlfn.NORM.DIST(I22,$P$5,$P$6,FALSE)</f>
        <v>0.14823611683596097</v>
      </c>
      <c r="AA23" s="16">
        <f>_xlfn.NORM.DIST(J22,$Q$5,$Q$6,FALSE)</f>
        <v>5.2154846806635902E-2</v>
      </c>
      <c r="AB23" s="16">
        <f>_xlfn.NORM.DIST(K22,$R$5,$R$6,FALSE)</f>
        <v>0.25264012556895021</v>
      </c>
      <c r="AC23" s="16">
        <f>_xlfn.NORM.DIST(L22,$S$5,$S$6,FALSE)</f>
        <v>1.1618227216158265E-2</v>
      </c>
      <c r="AH23" s="7">
        <f>$AF$2 * U23 * V23 * W23 * X23</f>
        <v>9.1576244515736853E-6</v>
      </c>
      <c r="AI23" s="7">
        <f>$AF$3 * Z23 * AA23 * AB23 * AC23</f>
        <v>1.0926233721174662E-5</v>
      </c>
      <c r="AK23" s="7" t="str">
        <f t="shared" si="2"/>
        <v>ANEMIA</v>
      </c>
    </row>
    <row r="24" spans="1:37" x14ac:dyDescent="0.25">
      <c r="A24" s="10">
        <v>1</v>
      </c>
      <c r="B24" s="10">
        <v>14.6</v>
      </c>
      <c r="C24" s="10">
        <v>25.5</v>
      </c>
      <c r="D24" s="10">
        <v>31.8</v>
      </c>
      <c r="E24" s="10">
        <v>83.5</v>
      </c>
      <c r="F24" s="10">
        <v>0</v>
      </c>
      <c r="G24" s="15"/>
      <c r="H24" s="10">
        <v>0</v>
      </c>
      <c r="I24" s="10">
        <v>11.4</v>
      </c>
      <c r="J24" s="10">
        <v>16.5</v>
      </c>
      <c r="K24" s="10">
        <v>29.8</v>
      </c>
      <c r="L24" s="10">
        <v>100.3</v>
      </c>
      <c r="M24" s="10">
        <v>1</v>
      </c>
      <c r="U24" s="14">
        <f>_xlfn.NORM.DIST(I23,$P$2,$P$3,FALSE)</f>
        <v>0.29230447967585438</v>
      </c>
      <c r="V24" s="14">
        <f>_xlfn.NORM.DIST(J23,$Q$2,$Q$3,FALSE)</f>
        <v>2.7435340829368896E-2</v>
      </c>
      <c r="W24" s="14">
        <f>_xlfn.NORM.DIST(K23,$R$2,$R$3,FALSE)</f>
        <v>0.19188439289186823</v>
      </c>
      <c r="X24" s="7">
        <f>_xlfn.NORM.DIST(L23,$S$2,$S$3,FALSE)</f>
        <v>3.3011003689576351E-2</v>
      </c>
      <c r="Z24" s="16">
        <f>_xlfn.NORM.DIST(I23,$P$5,$P$6,FALSE)</f>
        <v>2.2511561346832054E-3</v>
      </c>
      <c r="AA24" s="16">
        <f>_xlfn.NORM.DIST(J23,$Q$5,$Q$6,FALSE)</f>
        <v>1.9194667060367206E-2</v>
      </c>
      <c r="AB24" s="16">
        <f>_xlfn.NORM.DIST(K23,$R$5,$R$6,FALSE)</f>
        <v>0.15285610228881527</v>
      </c>
      <c r="AC24" s="16">
        <f>_xlfn.NORM.DIST(L23,$S$5,$S$6,FALSE)</f>
        <v>3.6026917551246318E-2</v>
      </c>
      <c r="AH24" s="7">
        <f>$AF$2 * U24 * V24 * W24 * X24</f>
        <v>2.6339558068148991E-5</v>
      </c>
      <c r="AI24" s="7">
        <f>$AF$3 * Z24 * AA24 * AB24 * AC24</f>
        <v>1.1457125653862992E-7</v>
      </c>
      <c r="AK24" s="7" t="str">
        <f t="shared" si="2"/>
        <v>SEHAT</v>
      </c>
    </row>
    <row r="25" spans="1:37" x14ac:dyDescent="0.25">
      <c r="A25" s="10">
        <v>0</v>
      </c>
      <c r="B25" s="10">
        <v>13.4</v>
      </c>
      <c r="C25" s="10">
        <v>26.3</v>
      </c>
      <c r="D25" s="10">
        <v>28.5</v>
      </c>
      <c r="E25" s="10">
        <v>84.6</v>
      </c>
      <c r="F25" s="10">
        <v>0</v>
      </c>
      <c r="G25" s="15"/>
      <c r="H25" s="10">
        <v>1</v>
      </c>
      <c r="I25" s="10">
        <v>10.9</v>
      </c>
      <c r="J25" s="10">
        <v>27.1</v>
      </c>
      <c r="K25" s="10">
        <v>30</v>
      </c>
      <c r="L25" s="10">
        <v>93.2</v>
      </c>
      <c r="M25" s="10">
        <v>1</v>
      </c>
      <c r="U25" s="14">
        <f>_xlfn.NORM.DIST(I24,$P$2,$P$3,FALSE)</f>
        <v>1.5762332341604037E-2</v>
      </c>
      <c r="V25" s="14">
        <f>_xlfn.NORM.DIST(J24,$Q$2,$Q$3,FALSE)</f>
        <v>1.9734547912865323E-2</v>
      </c>
      <c r="W25" s="14">
        <f>_xlfn.NORM.DIST(K24,$R$2,$R$3,FALSE)</f>
        <v>0.23360376985681941</v>
      </c>
      <c r="X25" s="7">
        <f>_xlfn.NORM.DIST(L24,$S$2,$S$3,FALSE)</f>
        <v>1.3778174479045776E-2</v>
      </c>
      <c r="Z25" s="16">
        <f>_xlfn.NORM.DIST(I24,$P$5,$P$6,FALSE)</f>
        <v>0.38681197986760779</v>
      </c>
      <c r="AA25" s="16">
        <f>_xlfn.NORM.DIST(J24,$Q$5,$Q$6,FALSE)</f>
        <v>3.4099223668876522E-2</v>
      </c>
      <c r="AB25" s="16">
        <f>_xlfn.NORM.DIST(K24,$R$5,$R$6,FALSE)</f>
        <v>0.26253623905290069</v>
      </c>
      <c r="AC25" s="16">
        <f>_xlfn.NORM.DIST(L24,$S$5,$S$6,FALSE)</f>
        <v>1.5337421088577373E-2</v>
      </c>
      <c r="AH25" s="7">
        <f>$AF$2 * U25 * V25 * W25 * X25</f>
        <v>5.1913876630841216E-7</v>
      </c>
      <c r="AI25" s="7">
        <f>$AF$3 * Z25 * AA25 * AB25 * AC25</f>
        <v>2.5572053041722299E-5</v>
      </c>
      <c r="AK25" s="7" t="str">
        <f t="shared" si="2"/>
        <v>SEHAT</v>
      </c>
    </row>
    <row r="26" spans="1:37" x14ac:dyDescent="0.25">
      <c r="A26" s="10">
        <v>0</v>
      </c>
      <c r="B26" s="10">
        <v>13</v>
      </c>
      <c r="C26" s="10">
        <v>28.3</v>
      </c>
      <c r="D26" s="10">
        <v>30</v>
      </c>
      <c r="E26" s="10">
        <v>83</v>
      </c>
      <c r="F26" s="10">
        <v>0</v>
      </c>
      <c r="G26" s="15"/>
      <c r="H26" s="10">
        <v>0</v>
      </c>
      <c r="I26" s="10">
        <v>14.8</v>
      </c>
      <c r="J26" s="10">
        <v>16.2</v>
      </c>
      <c r="K26" s="10">
        <v>28.9</v>
      </c>
      <c r="L26" s="10">
        <v>75.8</v>
      </c>
      <c r="M26" s="10">
        <v>0</v>
      </c>
      <c r="U26" s="14">
        <f>_xlfn.NORM.DIST(I25,$P$2,$P$3,FALSE)</f>
        <v>6.0574014505633553E-3</v>
      </c>
      <c r="V26" s="14">
        <f>_xlfn.NORM.DIST(J25,$Q$2,$Q$3,FALSE)</f>
        <v>6.5497497609544111E-2</v>
      </c>
      <c r="W26" s="14">
        <f>_xlfn.NORM.DIST(K25,$R$2,$R$3,FALSE)</f>
        <v>0.24588630607581097</v>
      </c>
      <c r="X26" s="7">
        <f>_xlfn.NORM.DIST(L25,$S$2,$S$3,FALSE)</f>
        <v>2.9704111536732896E-2</v>
      </c>
      <c r="Z26" s="16">
        <f>_xlfn.NORM.DIST(I25,$P$5,$P$6,FALSE)</f>
        <v>0.24948465134259415</v>
      </c>
      <c r="AA26" s="16">
        <f>_xlfn.NORM.DIST(J25,$Q$5,$Q$6,FALSE)</f>
        <v>4.9249614472616617E-2</v>
      </c>
      <c r="AB26" s="16">
        <f>_xlfn.NORM.DIST(K25,$R$5,$R$6,FALSE)</f>
        <v>0.26790932063896344</v>
      </c>
      <c r="AC26" s="16">
        <f>_xlfn.NORM.DIST(L25,$S$5,$S$6,FALSE)</f>
        <v>3.2693918358249592E-2</v>
      </c>
      <c r="AH26" s="7">
        <f>$AF$2 * U26 * V26 * W26 * X26</f>
        <v>1.5025407044188706E-6</v>
      </c>
      <c r="AI26" s="7">
        <f>$AF$3 * Z26 * AA26 * AB26 * AC26</f>
        <v>5.1818048429350615E-5</v>
      </c>
      <c r="AK26" s="7" t="str">
        <f t="shared" si="2"/>
        <v>ANEMIA</v>
      </c>
    </row>
    <row r="27" spans="1:37" x14ac:dyDescent="0.25">
      <c r="A27" s="10">
        <v>0</v>
      </c>
      <c r="B27" s="10">
        <v>14.3</v>
      </c>
      <c r="C27" s="10">
        <v>27.6</v>
      </c>
      <c r="D27" s="10">
        <v>32.299999999999997</v>
      </c>
      <c r="E27" s="10">
        <v>74.3</v>
      </c>
      <c r="F27" s="10">
        <v>0</v>
      </c>
      <c r="G27" s="15"/>
      <c r="H27" s="10">
        <v>1</v>
      </c>
      <c r="I27" s="10">
        <v>15.5</v>
      </c>
      <c r="J27" s="10">
        <v>23.1</v>
      </c>
      <c r="K27" s="10">
        <v>29.1</v>
      </c>
      <c r="L27" s="10">
        <v>72.900000000000006</v>
      </c>
      <c r="M27" s="10">
        <v>0</v>
      </c>
      <c r="U27" s="14">
        <f>_xlfn.NORM.DIST(I26,$P$2,$P$3,FALSE)</f>
        <v>0.29230447967585438</v>
      </c>
      <c r="V27" s="14">
        <f>_xlfn.NORM.DIST(J26,$Q$2,$Q$3,FALSE)</f>
        <v>1.7001189698551321E-2</v>
      </c>
      <c r="W27" s="14">
        <f>_xlfn.NORM.DIST(K26,$R$2,$R$3,FALSE)</f>
        <v>0.15043441803696656</v>
      </c>
      <c r="X27" s="7">
        <f>_xlfn.NORM.DIST(L26,$S$2,$S$3,FALSE)</f>
        <v>2.4652847514655622E-2</v>
      </c>
      <c r="Z27" s="16">
        <f>_xlfn.NORM.DIST(I26,$P$5,$P$6,FALSE)</f>
        <v>2.2511561346832054E-3</v>
      </c>
      <c r="AA27" s="16">
        <f>_xlfn.NORM.DIST(J26,$Q$5,$Q$6,FALSE)</f>
        <v>3.0451334692909848E-2</v>
      </c>
      <c r="AB27" s="16">
        <f>_xlfn.NORM.DIST(K26,$R$5,$R$6,FALSE)</f>
        <v>0.19141553302836742</v>
      </c>
      <c r="AC27" s="16">
        <f>_xlfn.NORM.DIST(L26,$S$5,$S$6,FALSE)</f>
        <v>2.2009461057409443E-2</v>
      </c>
      <c r="AH27" s="7">
        <f>$AF$2 * U27 * V27 * W27 * X27</f>
        <v>9.5563787881135713E-6</v>
      </c>
      <c r="AI27" s="7">
        <f>$AF$3 * Z27 * AA27 * AB27 * AC27</f>
        <v>1.3905228303288345E-7</v>
      </c>
      <c r="AK27" s="7" t="str">
        <f t="shared" si="2"/>
        <v>ANEMIA</v>
      </c>
    </row>
    <row r="28" spans="1:37" x14ac:dyDescent="0.25">
      <c r="A28" s="10">
        <v>0</v>
      </c>
      <c r="B28" s="10">
        <v>13.1</v>
      </c>
      <c r="C28" s="10">
        <v>27</v>
      </c>
      <c r="D28" s="10">
        <v>32.4</v>
      </c>
      <c r="E28" s="10">
        <v>97.8</v>
      </c>
      <c r="F28" s="10">
        <v>0</v>
      </c>
      <c r="G28" s="15"/>
      <c r="H28" s="10">
        <v>1</v>
      </c>
      <c r="I28" s="10">
        <v>15.9</v>
      </c>
      <c r="J28" s="10">
        <v>21.6</v>
      </c>
      <c r="K28" s="10">
        <v>32.4</v>
      </c>
      <c r="L28" s="10">
        <v>83.7</v>
      </c>
      <c r="M28" s="10">
        <v>0</v>
      </c>
      <c r="U28" s="14">
        <f>_xlfn.NORM.DIST(I27,$P$2,$P$3,FALSE)</f>
        <v>0.2455528129044415</v>
      </c>
      <c r="V28" s="14">
        <f>_xlfn.NORM.DIST(J27,$Q$2,$Q$3,FALSE)</f>
        <v>0.1055147155376088</v>
      </c>
      <c r="W28" s="14">
        <f>_xlfn.NORM.DIST(K27,$R$2,$R$3,FALSE)</f>
        <v>0.1708787409988701</v>
      </c>
      <c r="X28" s="7">
        <f>_xlfn.NORM.DIST(L27,$S$2,$S$3,FALSE)</f>
        <v>1.7959238063539683E-2</v>
      </c>
      <c r="Z28" s="16">
        <f>_xlfn.NORM.DIST(I27,$P$5,$P$6,FALSE)</f>
        <v>1.3432662505447092E-4</v>
      </c>
      <c r="AA28" s="16">
        <f>_xlfn.NORM.DIST(J27,$Q$5,$Q$6,FALSE)</f>
        <v>9.8261964788618025E-2</v>
      </c>
      <c r="AB28" s="16">
        <f>_xlfn.NORM.DIST(K27,$R$5,$R$6,FALSE)</f>
        <v>0.21196950901253542</v>
      </c>
      <c r="AC28" s="16">
        <f>_xlfn.NORM.DIST(L27,$S$5,$S$6,FALSE)</f>
        <v>1.5100338548301659E-2</v>
      </c>
      <c r="AH28" s="7">
        <f>$AF$2 * U28 * V28 * W28 * X28</f>
        <v>4.1228559437474548E-5</v>
      </c>
      <c r="AI28" s="7">
        <f>$AF$3 * Z28 * AA28 * AB28 * AC28</f>
        <v>2.0341698513813896E-8</v>
      </c>
      <c r="AK28" s="7" t="str">
        <f t="shared" si="2"/>
        <v>ANEMIA</v>
      </c>
    </row>
    <row r="29" spans="1:37" x14ac:dyDescent="0.25">
      <c r="A29" s="10">
        <v>0</v>
      </c>
      <c r="B29" s="10">
        <v>15.5</v>
      </c>
      <c r="C29" s="10">
        <v>26.9</v>
      </c>
      <c r="D29" s="10">
        <v>28</v>
      </c>
      <c r="E29" s="10">
        <v>72.7</v>
      </c>
      <c r="F29" s="10">
        <v>0</v>
      </c>
      <c r="G29" s="15"/>
      <c r="H29" s="10">
        <v>1</v>
      </c>
      <c r="I29" s="10">
        <v>16.7</v>
      </c>
      <c r="J29" s="10">
        <v>22.8</v>
      </c>
      <c r="K29" s="10">
        <v>32.5</v>
      </c>
      <c r="L29" s="10">
        <v>81.900000000000006</v>
      </c>
      <c r="M29" s="10">
        <v>0</v>
      </c>
      <c r="U29" s="14">
        <f>_xlfn.NORM.DIST(I28,$P$2,$P$3,FALSE)</f>
        <v>0.19736007318703239</v>
      </c>
      <c r="V29" s="14">
        <f>_xlfn.NORM.DIST(J28,$Q$2,$Q$3,FALSE)</f>
        <v>9.4366460376283462E-2</v>
      </c>
      <c r="W29" s="14">
        <f>_xlfn.NORM.DIST(K28,$R$2,$R$3,FALSE)</f>
        <v>0.12142046954026794</v>
      </c>
      <c r="X29" s="7">
        <f>_xlfn.NORM.DIST(L28,$S$2,$S$3,FALSE)</f>
        <v>3.8619994622542696E-2</v>
      </c>
      <c r="Z29" s="16">
        <f>_xlfn.NORM.DIST(I28,$P$5,$P$6,FALSE)</f>
        <v>2.0485834022877763E-5</v>
      </c>
      <c r="AA29" s="16">
        <f>_xlfn.NORM.DIST(J28,$Q$5,$Q$6,FALSE)</f>
        <v>9.8244155076949863E-2</v>
      </c>
      <c r="AB29" s="16">
        <f>_xlfn.NORM.DIST(K28,$R$5,$R$6,FALSE)</f>
        <v>8.2847218410093668E-2</v>
      </c>
      <c r="AC29" s="16">
        <f>_xlfn.NORM.DIST(L28,$S$5,$S$6,FALSE)</f>
        <v>3.9148463832023951E-2</v>
      </c>
      <c r="AH29" s="7">
        <f>$AF$2 * U29 * V29 * W29 * X29</f>
        <v>4.5284059385840235E-5</v>
      </c>
      <c r="AI29" s="7">
        <f>$AF$3 * Z29 * AA29 * AB29 * AC29</f>
        <v>3.1429148620344747E-9</v>
      </c>
      <c r="AK29" s="7" t="str">
        <f t="shared" si="2"/>
        <v>ANEMIA</v>
      </c>
    </row>
    <row r="30" spans="1:37" x14ac:dyDescent="0.25">
      <c r="A30" s="10">
        <v>0</v>
      </c>
      <c r="B30" s="10">
        <v>14</v>
      </c>
      <c r="C30" s="10">
        <v>26.9</v>
      </c>
      <c r="D30" s="10">
        <v>28</v>
      </c>
      <c r="E30" s="10">
        <v>89.9</v>
      </c>
      <c r="F30" s="10">
        <v>0</v>
      </c>
      <c r="G30" s="15"/>
      <c r="H30" s="10">
        <v>1</v>
      </c>
      <c r="I30" s="10">
        <v>12.5</v>
      </c>
      <c r="J30" s="10">
        <v>19.399999999999999</v>
      </c>
      <c r="K30" s="10">
        <v>29.2</v>
      </c>
      <c r="L30" s="10">
        <v>97.4</v>
      </c>
      <c r="M30" s="10">
        <v>1</v>
      </c>
      <c r="U30" s="14">
        <f>_xlfn.NORM.DIST(I29,$P$2,$P$3,FALSE)</f>
        <v>9.8363132714763005E-2</v>
      </c>
      <c r="V30" s="14">
        <f>_xlfn.NORM.DIST(J29,$Q$2,$Q$3,FALSE)</f>
        <v>0.10450061311986721</v>
      </c>
      <c r="W30" s="14">
        <f>_xlfn.NORM.DIST(K29,$R$2,$R$3,FALSE)</f>
        <v>0.11182704665325215</v>
      </c>
      <c r="X30" s="7">
        <f>_xlfn.NORM.DIST(L29,$S$2,$S$3,FALSE)</f>
        <v>3.6773777313380912E-2</v>
      </c>
      <c r="Z30" s="16">
        <f>_xlfn.NORM.DIST(I29,$P$5,$P$6,FALSE)</f>
        <v>2.6451905699410937E-7</v>
      </c>
      <c r="AA30" s="16">
        <f>_xlfn.NORM.DIST(J29,$Q$5,$Q$6,FALSE)</f>
        <v>9.9376098158786189E-2</v>
      </c>
      <c r="AB30" s="16">
        <f>_xlfn.NORM.DIST(K29,$R$5,$R$6,FALSE)</f>
        <v>7.4539911265096903E-2</v>
      </c>
      <c r="AC30" s="16">
        <f>_xlfn.NORM.DIST(L29,$S$5,$S$6,FALSE)</f>
        <v>3.6383472272769272E-2</v>
      </c>
      <c r="AH30" s="7">
        <f>$AF$2 * U30 * V30 * W30 * X30</f>
        <v>2.1917981656732346E-5</v>
      </c>
      <c r="AI30" s="7">
        <f>$AF$3 * Z30 * AA30 * AB30 * AC30</f>
        <v>3.4325076199538007E-11</v>
      </c>
      <c r="AK30" s="7" t="str">
        <f t="shared" si="2"/>
        <v>SEHAT</v>
      </c>
    </row>
    <row r="31" spans="1:37" x14ac:dyDescent="0.25">
      <c r="A31" s="10">
        <v>1</v>
      </c>
      <c r="B31" s="10">
        <v>15.3</v>
      </c>
      <c r="C31" s="10">
        <v>28.9</v>
      </c>
      <c r="D31" s="10">
        <v>31.6</v>
      </c>
      <c r="E31" s="10">
        <v>76.3</v>
      </c>
      <c r="F31" s="10">
        <v>0</v>
      </c>
      <c r="G31" s="15"/>
      <c r="H31" s="10">
        <v>0</v>
      </c>
      <c r="I31" s="10">
        <v>13.3</v>
      </c>
      <c r="J31" s="10">
        <v>26.3</v>
      </c>
      <c r="K31" s="10">
        <v>30</v>
      </c>
      <c r="L31" s="10">
        <v>100</v>
      </c>
      <c r="M31" s="10">
        <v>0</v>
      </c>
      <c r="U31" s="14">
        <f>_xlfn.NORM.DIST(I30,$P$2,$P$3,FALSE)</f>
        <v>8.0319329728622962E-2</v>
      </c>
      <c r="V31" s="14">
        <f>_xlfn.NORM.DIST(J30,$Q$2,$Q$3,FALSE)</f>
        <v>6.0147791317023559E-2</v>
      </c>
      <c r="W31" s="14">
        <f>_xlfn.NORM.DIST(K30,$R$2,$R$3,FALSE)</f>
        <v>0.18096777803802686</v>
      </c>
      <c r="X31" s="7">
        <f>_xlfn.NORM.DIST(L30,$S$2,$S$3,FALSE)</f>
        <v>2.0004803838322267E-2</v>
      </c>
      <c r="Z31" s="16">
        <f>_xlfn.NORM.DIST(I30,$P$5,$P$6,FALSE)</f>
        <v>0.34509635803193256</v>
      </c>
      <c r="AA31" s="16">
        <f>_xlfn.NORM.DIST(J30,$Q$5,$Q$6,FALSE)</f>
        <v>7.6053643727297643E-2</v>
      </c>
      <c r="AB31" s="16">
        <f>_xlfn.NORM.DIST(K30,$R$5,$R$6,FALSE)</f>
        <v>0.22154572003857639</v>
      </c>
      <c r="AC31" s="16">
        <f>_xlfn.NORM.DIST(L30,$S$5,$S$6,FALSE)</f>
        <v>2.2281422758245933E-2</v>
      </c>
      <c r="AH31" s="7">
        <f>$AF$2 * U31 * V31 * W31 * X31</f>
        <v>9.0685861401645929E-6</v>
      </c>
      <c r="AI31" s="7">
        <f>$AF$3 * Z31 * AA31 * AB31 * AC31</f>
        <v>6.238012969519673E-5</v>
      </c>
      <c r="AK31" s="7" t="str">
        <f t="shared" si="2"/>
        <v>ANEMIA</v>
      </c>
    </row>
    <row r="32" spans="1:37" x14ac:dyDescent="0.25">
      <c r="A32" s="10">
        <v>1</v>
      </c>
      <c r="B32" s="10">
        <v>14.3</v>
      </c>
      <c r="C32" s="10">
        <v>20.399999999999999</v>
      </c>
      <c r="D32" s="10">
        <v>28</v>
      </c>
      <c r="E32" s="10">
        <v>97.4</v>
      </c>
      <c r="F32" s="10">
        <v>0</v>
      </c>
      <c r="H32" s="10">
        <v>0</v>
      </c>
      <c r="I32" s="10">
        <v>13.8</v>
      </c>
      <c r="J32" s="10">
        <v>21</v>
      </c>
      <c r="K32" s="10">
        <v>28.6</v>
      </c>
      <c r="L32" s="10">
        <v>80.8</v>
      </c>
      <c r="M32" s="10">
        <v>0</v>
      </c>
      <c r="U32" s="14">
        <f>_xlfn.NORM.DIST(I31,$P$2,$P$3,FALSE)</f>
        <v>0.17409067430398742</v>
      </c>
      <c r="V32" s="14">
        <f>_xlfn.NORM.DIST(J31,$Q$2,$Q$3,FALSE)</f>
        <v>7.8847546250881098E-2</v>
      </c>
      <c r="W32" s="14">
        <f>_xlfn.NORM.DIST(K31,$R$2,$R$3,FALSE)</f>
        <v>0.24588630607581097</v>
      </c>
      <c r="X32" s="7">
        <f>_xlfn.NORM.DIST(L31,$S$2,$S$3,FALSE)</f>
        <v>1.4374358345638539E-2</v>
      </c>
      <c r="Z32" s="16">
        <f>_xlfn.NORM.DIST(I31,$P$5,$P$6,FALSE)</f>
        <v>0.1250918726783207</v>
      </c>
      <c r="AA32" s="16">
        <f>_xlfn.NORM.DIST(J31,$Q$5,$Q$6,FALSE)</f>
        <v>6.1281706668194248E-2</v>
      </c>
      <c r="AB32" s="16">
        <f>_xlfn.NORM.DIST(K31,$R$5,$R$6,FALSE)</f>
        <v>0.26790932063896344</v>
      </c>
      <c r="AC32" s="16">
        <f>_xlfn.NORM.DIST(L31,$S$5,$S$6,FALSE)</f>
        <v>1.6007337293740872E-2</v>
      </c>
      <c r="AH32" s="7">
        <f>$AF$2 * U32 * V32 * W32 * X32</f>
        <v>2.5156532064959573E-5</v>
      </c>
      <c r="AI32" s="7">
        <f>$AF$3 * Z32 * AA32 * AB32 * AC32</f>
        <v>1.5828743925876171E-5</v>
      </c>
      <c r="AK32" s="7" t="str">
        <f t="shared" si="2"/>
        <v>ANEMIA</v>
      </c>
    </row>
    <row r="33" spans="1:37" x14ac:dyDescent="0.25">
      <c r="A33" s="10">
        <v>1</v>
      </c>
      <c r="B33" s="10">
        <v>14.4</v>
      </c>
      <c r="C33" s="10">
        <v>18.100000000000001</v>
      </c>
      <c r="D33" s="10">
        <v>28.7</v>
      </c>
      <c r="E33" s="10">
        <v>80.2</v>
      </c>
      <c r="F33" s="10">
        <v>0</v>
      </c>
      <c r="H33" s="10">
        <v>0</v>
      </c>
      <c r="I33" s="10">
        <v>12.3</v>
      </c>
      <c r="J33" s="10">
        <v>23</v>
      </c>
      <c r="K33" s="10">
        <v>29.3</v>
      </c>
      <c r="L33" s="10">
        <v>85.8</v>
      </c>
      <c r="M33" s="10">
        <v>0</v>
      </c>
      <c r="U33" s="14">
        <f>_xlfn.NORM.DIST(I32,$P$2,$P$3,FALSE)</f>
        <v>0.23684834053109102</v>
      </c>
      <c r="V33" s="14">
        <f>_xlfn.NORM.DIST(J32,$Q$2,$Q$3,FALSE)</f>
        <v>8.6328151177488682E-2</v>
      </c>
      <c r="W33" s="14">
        <f>_xlfn.NORM.DIST(K32,$R$2,$R$3,FALSE)</f>
        <v>0.12037879775916514</v>
      </c>
      <c r="X33" s="7">
        <f>_xlfn.NORM.DIST(L32,$S$2,$S$3,FALSE)</f>
        <v>3.5140952213782529E-2</v>
      </c>
      <c r="Z33" s="16">
        <f>_xlfn.NORM.DIST(I32,$P$5,$P$6,FALSE)</f>
        <v>4.4538515310016673E-2</v>
      </c>
      <c r="AA33" s="16">
        <f>_xlfn.NORM.DIST(J32,$Q$5,$Q$6,FALSE)</f>
        <v>9.4423998700680967E-2</v>
      </c>
      <c r="AB33" s="16">
        <f>_xlfn.NORM.DIST(K32,$R$5,$R$6,FALSE)</f>
        <v>0.15876039220743798</v>
      </c>
      <c r="AC33" s="16">
        <f>_xlfn.NORM.DIST(L32,$S$5,$S$6,FALSE)</f>
        <v>3.4209771066949564E-2</v>
      </c>
      <c r="AH33" s="7">
        <f>$AF$2 * U33 * V33 * W33 * X33</f>
        <v>4.4848774959772889E-5</v>
      </c>
      <c r="AI33" s="7">
        <f>$AF$3 * Z33 * AA33 * AB33 * AC33</f>
        <v>1.099740054306857E-5</v>
      </c>
      <c r="AK33" s="7" t="str">
        <f t="shared" si="2"/>
        <v>SEHAT</v>
      </c>
    </row>
    <row r="34" spans="1:37" x14ac:dyDescent="0.25">
      <c r="A34" s="10">
        <v>0</v>
      </c>
      <c r="B34" s="10">
        <v>12</v>
      </c>
      <c r="C34" s="10">
        <v>19.399999999999999</v>
      </c>
      <c r="D34" s="10">
        <v>29.6</v>
      </c>
      <c r="E34" s="10">
        <v>71.5</v>
      </c>
      <c r="F34" s="10">
        <v>0</v>
      </c>
      <c r="H34" s="10">
        <v>0</v>
      </c>
      <c r="I34" s="10">
        <v>11.2</v>
      </c>
      <c r="J34" s="10">
        <v>23.1</v>
      </c>
      <c r="K34" s="10">
        <v>30.3</v>
      </c>
      <c r="L34" s="10">
        <v>75.2</v>
      </c>
      <c r="M34" s="10">
        <v>1</v>
      </c>
      <c r="U34" s="14">
        <f>_xlfn.NORM.DIST(I33,$P$2,$P$3,FALSE)</f>
        <v>6.2713534387758965E-2</v>
      </c>
      <c r="V34" s="14">
        <f>_xlfn.NORM.DIST(J33,$Q$2,$Q$3,FALSE)</f>
        <v>0.10524968250958036</v>
      </c>
      <c r="W34" s="14">
        <f>_xlfn.NORM.DIST(K33,$R$2,$R$3,FALSE)</f>
        <v>0.19084304754727885</v>
      </c>
      <c r="X34" s="7">
        <f>_xlfn.NORM.DIST(L33,$S$2,$S$3,FALSE)</f>
        <v>3.9297847070013277E-2</v>
      </c>
      <c r="Z34" s="16">
        <f>_xlfn.NORM.DIST(I33,$P$5,$P$6,FALSE)</f>
        <v>0.3934344722632937</v>
      </c>
      <c r="AA34" s="16">
        <f>_xlfn.NORM.DIST(J33,$Q$5,$Q$6,FALSE)</f>
        <v>9.8693945640895078E-2</v>
      </c>
      <c r="AB34" s="16">
        <f>_xlfn.NORM.DIST(K33,$R$5,$R$6,FALSE)</f>
        <v>0.23050547392356274</v>
      </c>
      <c r="AC34" s="16">
        <f>_xlfn.NORM.DIST(L33,$S$5,$S$6,FALSE)</f>
        <v>4.0836514615743232E-2</v>
      </c>
      <c r="AH34" s="7">
        <f>$AF$2 * U34 * V34 * W34 * X34</f>
        <v>2.5667965365227342E-5</v>
      </c>
      <c r="AI34" s="7">
        <f>$AF$3 * Z34 * AA34 * AB34 * AC34</f>
        <v>1.7598369048987442E-4</v>
      </c>
      <c r="AK34" s="7" t="str">
        <f t="shared" si="2"/>
        <v>SEHAT</v>
      </c>
    </row>
    <row r="35" spans="1:37" x14ac:dyDescent="0.25">
      <c r="A35" s="10">
        <v>1</v>
      </c>
      <c r="B35" s="10">
        <v>15.2</v>
      </c>
      <c r="C35" s="10">
        <v>19.5</v>
      </c>
      <c r="D35" s="10">
        <v>28.3</v>
      </c>
      <c r="E35" s="10">
        <v>74.099999999999994</v>
      </c>
      <c r="F35" s="10">
        <v>0</v>
      </c>
      <c r="H35" s="10">
        <v>0</v>
      </c>
      <c r="I35" s="10">
        <v>10.7</v>
      </c>
      <c r="J35" s="10">
        <v>22.8</v>
      </c>
      <c r="K35" s="10">
        <v>30.5</v>
      </c>
      <c r="L35" s="10">
        <v>81.3</v>
      </c>
      <c r="M35" s="10">
        <v>1</v>
      </c>
      <c r="U35" s="14">
        <f>_xlfn.NORM.DIST(I34,$P$2,$P$3,FALSE)</f>
        <v>1.0927676079834869E-2</v>
      </c>
      <c r="V35" s="14">
        <f>_xlfn.NORM.DIST(J34,$Q$2,$Q$3,FALSE)</f>
        <v>0.1055147155376088</v>
      </c>
      <c r="W35" s="14">
        <f>_xlfn.NORM.DIST(K34,$R$2,$R$3,FALSE)</f>
        <v>0.25723503310514134</v>
      </c>
      <c r="X35" s="7">
        <f>_xlfn.NORM.DIST(L34,$S$2,$S$3,FALSE)</f>
        <v>2.3244019350718011E-2</v>
      </c>
      <c r="Z35" s="16">
        <f>_xlfn.NORM.DIST(I34,$P$5,$P$6,FALSE)</f>
        <v>0.33673729478962217</v>
      </c>
      <c r="AA35" s="16">
        <f>_xlfn.NORM.DIST(J34,$Q$5,$Q$6,FALSE)</f>
        <v>9.8261964788618025E-2</v>
      </c>
      <c r="AB35" s="16">
        <f>_xlfn.NORM.DIST(K34,$R$5,$R$6,FALSE)</f>
        <v>0.26692852073005691</v>
      </c>
      <c r="AC35" s="16">
        <f>_xlfn.NORM.DIST(L34,$S$5,$S$6,FALSE)</f>
        <v>2.0507870066184059E-2</v>
      </c>
      <c r="AH35" s="7">
        <f>$AF$2 * U35 * V35 * W35 * X35</f>
        <v>3.5747564683300664E-6</v>
      </c>
      <c r="AI35" s="7">
        <f>$AF$3 * Z35 * AA35 * AB35 * AC35</f>
        <v>8.7211104639653471E-5</v>
      </c>
      <c r="AK35" s="7" t="str">
        <f t="shared" si="2"/>
        <v>SEHAT</v>
      </c>
    </row>
    <row r="36" spans="1:37" x14ac:dyDescent="0.25">
      <c r="A36" s="10">
        <v>0</v>
      </c>
      <c r="B36" s="10">
        <v>12</v>
      </c>
      <c r="C36" s="10">
        <v>21.5</v>
      </c>
      <c r="D36" s="10">
        <v>29.1</v>
      </c>
      <c r="E36" s="10">
        <v>101.1</v>
      </c>
      <c r="F36" s="10">
        <v>0</v>
      </c>
      <c r="H36" s="10">
        <v>0</v>
      </c>
      <c r="I36" s="10">
        <v>15</v>
      </c>
      <c r="J36" s="10">
        <v>21.8</v>
      </c>
      <c r="K36" s="10">
        <v>28.8</v>
      </c>
      <c r="L36" s="10">
        <v>95.2</v>
      </c>
      <c r="M36" s="10">
        <v>0</v>
      </c>
      <c r="U36" s="14">
        <f>_xlfn.NORM.DIST(I35,$P$2,$P$3,FALSE)</f>
        <v>3.9785401924151845E-3</v>
      </c>
      <c r="V36" s="14">
        <f>_xlfn.NORM.DIST(J35,$Q$2,$Q$3,FALSE)</f>
        <v>0.10450061311986721</v>
      </c>
      <c r="W36" s="14">
        <f>_xlfn.NORM.DIST(K35,$R$2,$R$3,FALSE)</f>
        <v>0.25953941212365927</v>
      </c>
      <c r="X36" s="7">
        <f>_xlfn.NORM.DIST(L35,$S$2,$S$3,FALSE)</f>
        <v>3.5926230569718172E-2</v>
      </c>
      <c r="Z36" s="16">
        <f>_xlfn.NORM.DIST(I35,$P$5,$P$6,FALSE)</f>
        <v>0.19212741878502787</v>
      </c>
      <c r="AA36" s="16">
        <f>_xlfn.NORM.DIST(J35,$Q$5,$Q$6,FALSE)</f>
        <v>9.9376098158786189E-2</v>
      </c>
      <c r="AB36" s="16">
        <f>_xlfn.NORM.DIST(K35,$R$5,$R$6,FALSE)</f>
        <v>0.26029907503928784</v>
      </c>
      <c r="AC36" s="16">
        <f>_xlfn.NORM.DIST(L35,$S$5,$S$6,FALSE)</f>
        <v>3.523699944285677E-2</v>
      </c>
      <c r="AH36" s="7">
        <f>$AF$2 * U36 * V36 * W36 * X36</f>
        <v>2.0101192805506435E-6</v>
      </c>
      <c r="AI36" s="7">
        <f>$AF$3 * Z36 * AA36 * AB36 * AC36</f>
        <v>8.4318412551148179E-5</v>
      </c>
      <c r="AK36" s="7" t="str">
        <f t="shared" si="2"/>
        <v>ANEMIA</v>
      </c>
    </row>
    <row r="37" spans="1:37" x14ac:dyDescent="0.25">
      <c r="A37" s="10">
        <v>1</v>
      </c>
      <c r="B37" s="10">
        <v>15.1</v>
      </c>
      <c r="C37" s="10">
        <v>24.3</v>
      </c>
      <c r="D37" s="10">
        <v>31.4</v>
      </c>
      <c r="E37" s="10">
        <v>76.099999999999994</v>
      </c>
      <c r="F37" s="10">
        <v>0</v>
      </c>
      <c r="H37" s="10">
        <v>1</v>
      </c>
      <c r="I37" s="10">
        <v>11.8</v>
      </c>
      <c r="J37" s="10">
        <v>28.5</v>
      </c>
      <c r="K37" s="10">
        <v>31.8</v>
      </c>
      <c r="L37" s="10">
        <v>89.7</v>
      </c>
      <c r="M37" s="10">
        <v>1</v>
      </c>
      <c r="U37" s="14">
        <f>_xlfn.NORM.DIST(I36,$P$2,$P$3,FALSE)</f>
        <v>0.28572258306996473</v>
      </c>
      <c r="V37" s="14">
        <f>_xlfn.NORM.DIST(J36,$Q$2,$Q$3,FALSE)</f>
        <v>9.6662819915681264E-2</v>
      </c>
      <c r="W37" s="14">
        <f>_xlfn.NORM.DIST(K36,$R$2,$R$3,FALSE)</f>
        <v>0.14025540400233255</v>
      </c>
      <c r="X37" s="7">
        <f>_xlfn.NORM.DIST(L36,$S$2,$S$3,FALSE)</f>
        <v>2.51383941315775E-2</v>
      </c>
      <c r="Z37" s="16">
        <f>_xlfn.NORM.DIST(I36,$P$5,$P$6,FALSE)</f>
        <v>1.0696572763856246E-3</v>
      </c>
      <c r="AA37" s="16">
        <f>_xlfn.NORM.DIST(J36,$Q$5,$Q$6,FALSE)</f>
        <v>9.9052387539019224E-2</v>
      </c>
      <c r="AB37" s="16">
        <f>_xlfn.NORM.DIST(K36,$R$5,$R$6,FALSE)</f>
        <v>0.18066371272583612</v>
      </c>
      <c r="AC37" s="16">
        <f>_xlfn.NORM.DIST(L36,$S$5,$S$6,FALSE)</f>
        <v>2.7877788800776522E-2</v>
      </c>
      <c r="AH37" s="7">
        <f>$AF$2 * U37 * V37 * W37 * X37</f>
        <v>5.0492332595870851E-5</v>
      </c>
      <c r="AI37" s="7">
        <f>$AF$3 * Z37 * AA37 * AB37 * AC37</f>
        <v>2.569321438411187E-7</v>
      </c>
      <c r="AK37" s="7" t="str">
        <f t="shared" si="2"/>
        <v>SEHAT</v>
      </c>
    </row>
    <row r="38" spans="1:37" x14ac:dyDescent="0.25">
      <c r="A38" s="10">
        <v>0</v>
      </c>
      <c r="B38" s="10">
        <v>12.8</v>
      </c>
      <c r="C38" s="10">
        <v>29.2</v>
      </c>
      <c r="D38" s="10">
        <v>32.1</v>
      </c>
      <c r="E38" s="10">
        <v>89.8</v>
      </c>
      <c r="F38" s="10">
        <v>0</v>
      </c>
      <c r="H38" s="10">
        <v>0</v>
      </c>
      <c r="I38" s="10">
        <v>16.8</v>
      </c>
      <c r="J38" s="10">
        <v>24.9</v>
      </c>
      <c r="K38" s="10">
        <v>32</v>
      </c>
      <c r="L38" s="10">
        <v>80.599999999999994</v>
      </c>
      <c r="M38" s="10">
        <v>0</v>
      </c>
      <c r="U38" s="14">
        <f>_xlfn.NORM.DIST(I37,$P$2,$P$3,FALSE)</f>
        <v>3.0735613471506374E-2</v>
      </c>
      <c r="V38" s="14">
        <f>_xlfn.NORM.DIST(J37,$Q$2,$Q$3,FALSE)</f>
        <v>4.2475776226069545E-2</v>
      </c>
      <c r="W38" s="14">
        <f>_xlfn.NORM.DIST(K37,$R$2,$R$3,FALSE)</f>
        <v>0.18203776962079443</v>
      </c>
      <c r="X38" s="7">
        <f>_xlfn.NORM.DIST(L37,$S$2,$S$3,FALSE)</f>
        <v>3.6230912041679587E-2</v>
      </c>
      <c r="Z38" s="16">
        <f>_xlfn.NORM.DIST(I37,$P$5,$P$6,FALSE)</f>
        <v>0.44057755321202846</v>
      </c>
      <c r="AA38" s="16">
        <f>_xlfn.NORM.DIST(J37,$Q$5,$Q$6,FALSE)</f>
        <v>3.0496630060605E-2</v>
      </c>
      <c r="AB38" s="16">
        <f>_xlfn.NORM.DIST(K37,$R$5,$R$6,FALSE)</f>
        <v>0.14197058240537561</v>
      </c>
      <c r="AC38" s="16">
        <f>_xlfn.NORM.DIST(L37,$S$5,$S$6,FALSE)</f>
        <v>3.9034160338634889E-2</v>
      </c>
      <c r="AH38" s="7">
        <f>$AF$2 * U38 * V38 * W38 * X38</f>
        <v>4.464658587791845E-6</v>
      </c>
      <c r="AI38" s="7">
        <f>$AF$3 * Z38 * AA38 * AB38 * AC38</f>
        <v>3.5850648177503157E-5</v>
      </c>
      <c r="AK38" s="7" t="str">
        <f t="shared" si="2"/>
        <v>ANEMIA</v>
      </c>
    </row>
    <row r="39" spans="1:37" x14ac:dyDescent="0.25">
      <c r="A39" s="10">
        <v>1</v>
      </c>
      <c r="B39" s="10">
        <v>15.1</v>
      </c>
      <c r="C39" s="10">
        <v>21.6</v>
      </c>
      <c r="D39" s="10">
        <v>28.4</v>
      </c>
      <c r="E39" s="10">
        <v>100</v>
      </c>
      <c r="F39" s="10">
        <v>0</v>
      </c>
      <c r="H39" s="10">
        <v>0</v>
      </c>
      <c r="I39" s="10">
        <v>16.8</v>
      </c>
      <c r="J39" s="10">
        <v>22.3</v>
      </c>
      <c r="K39" s="10">
        <v>30.8</v>
      </c>
      <c r="L39" s="10">
        <v>76.7</v>
      </c>
      <c r="M39" s="10">
        <v>0</v>
      </c>
      <c r="U39" s="14">
        <f>_xlfn.NORM.DIST(I38,$P$2,$P$3,FALSE)</f>
        <v>8.7996927894378255E-2</v>
      </c>
      <c r="V39" s="14">
        <f>_xlfn.NORM.DIST(J38,$Q$2,$Q$3,FALSE)</f>
        <v>9.7876168739878838E-2</v>
      </c>
      <c r="W39" s="14">
        <f>_xlfn.NORM.DIST(K38,$R$2,$R$3,FALSE)</f>
        <v>0.16176733252409317</v>
      </c>
      <c r="X39" s="7">
        <f>_xlfn.NORM.DIST(L38,$S$2,$S$3,FALSE)</f>
        <v>3.480800871746894E-2</v>
      </c>
      <c r="Z39" s="16">
        <f>_xlfn.NORM.DIST(I38,$P$5,$P$6,FALSE)</f>
        <v>1.4533552246717815E-7</v>
      </c>
      <c r="AA39" s="16">
        <f>_xlfn.NORM.DIST(J38,$Q$5,$Q$6,FALSE)</f>
        <v>8.1550743700057091E-2</v>
      </c>
      <c r="AB39" s="16">
        <f>_xlfn.NORM.DIST(K38,$R$5,$R$6,FALSE)</f>
        <v>0.12081288458259583</v>
      </c>
      <c r="AC39" s="16">
        <f>_xlfn.NORM.DIST(L38,$S$5,$S$6,FALSE)</f>
        <v>3.3782335359140811E-2</v>
      </c>
      <c r="AH39" s="7">
        <f>$AF$2 * U39 * V39 * W39 * X39</f>
        <v>2.5146569467747924E-5</v>
      </c>
      <c r="AI39" s="7">
        <f>$AF$3 * Z39 * AA39 * AB39 * AC39</f>
        <v>2.3290682388943688E-11</v>
      </c>
      <c r="AK39" s="7" t="str">
        <f t="shared" si="2"/>
        <v>ANEMIA</v>
      </c>
    </row>
    <row r="40" spans="1:37" x14ac:dyDescent="0.25">
      <c r="A40" s="10">
        <v>1</v>
      </c>
      <c r="B40" s="10">
        <v>15</v>
      </c>
      <c r="C40" s="10">
        <v>19.899999999999999</v>
      </c>
      <c r="D40" s="10">
        <v>30.1</v>
      </c>
      <c r="E40" s="10">
        <v>76.5</v>
      </c>
      <c r="F40" s="10">
        <v>0</v>
      </c>
      <c r="H40" s="10">
        <v>1</v>
      </c>
      <c r="I40" s="10">
        <v>10.8</v>
      </c>
      <c r="J40" s="10">
        <v>28</v>
      </c>
      <c r="K40" s="10">
        <v>28.8</v>
      </c>
      <c r="L40" s="10">
        <v>90.6</v>
      </c>
      <c r="M40" s="10">
        <v>1</v>
      </c>
      <c r="U40" s="14">
        <f>_xlfn.NORM.DIST(I39,$P$2,$P$3,FALSE)</f>
        <v>8.7996927894378255E-2</v>
      </c>
      <c r="V40" s="14">
        <f>_xlfn.NORM.DIST(J39,$Q$2,$Q$3,FALSE)</f>
        <v>0.10139393607330341</v>
      </c>
      <c r="W40" s="14">
        <f>_xlfn.NORM.DIST(K39,$R$2,$R$3,FALSE)</f>
        <v>0.25481626624612269</v>
      </c>
      <c r="X40" s="7">
        <f>_xlfn.NORM.DIST(L39,$S$2,$S$3,FALSE)</f>
        <v>2.6751942279981948E-2</v>
      </c>
      <c r="Z40" s="16">
        <f>_xlfn.NORM.DIST(I39,$P$5,$P$6,FALSE)</f>
        <v>1.4533552246717815E-7</v>
      </c>
      <c r="AA40" s="16">
        <f>_xlfn.NORM.DIST(J39,$Q$5,$Q$6,FALSE)</f>
        <v>9.9996482472064371E-2</v>
      </c>
      <c r="AB40" s="16">
        <f>_xlfn.NORM.DIST(K39,$R$5,$R$6,FALSE)</f>
        <v>0.24226931078923061</v>
      </c>
      <c r="AC40" s="16">
        <f>_xlfn.NORM.DIST(L39,$S$5,$S$6,FALSE)</f>
        <v>2.4296702928310075E-2</v>
      </c>
      <c r="AH40" s="7">
        <f>$AF$2 * U40 * V40 * W40 * X40</f>
        <v>3.1537425029839631E-5</v>
      </c>
      <c r="AI40" s="7">
        <f>$AF$3 * Z40 * AA40 * AB40 * AC40</f>
        <v>4.1189055673334382E-11</v>
      </c>
      <c r="AK40" s="7" t="str">
        <f t="shared" si="2"/>
        <v>SEHAT</v>
      </c>
    </row>
    <row r="41" spans="1:37" x14ac:dyDescent="0.25">
      <c r="A41" s="10">
        <v>0</v>
      </c>
      <c r="B41" s="10">
        <v>13.2</v>
      </c>
      <c r="C41" s="10">
        <v>17</v>
      </c>
      <c r="D41" s="10">
        <v>29.4</v>
      </c>
      <c r="E41" s="10">
        <v>101.5</v>
      </c>
      <c r="F41" s="10">
        <v>0</v>
      </c>
      <c r="H41" s="10">
        <v>1</v>
      </c>
      <c r="I41" s="10">
        <v>15.2</v>
      </c>
      <c r="J41" s="10">
        <v>24.9</v>
      </c>
      <c r="K41" s="10">
        <v>28.4</v>
      </c>
      <c r="L41" s="10">
        <v>90.1</v>
      </c>
      <c r="M41" s="10">
        <v>0</v>
      </c>
      <c r="U41" s="14">
        <f>_xlfn.NORM.DIST(I40,$P$2,$P$3,FALSE)</f>
        <v>4.9224186838897404E-3</v>
      </c>
      <c r="V41" s="14">
        <f>_xlfn.NORM.DIST(J40,$Q$2,$Q$3,FALSE)</f>
        <v>5.0372680359375893E-2</v>
      </c>
      <c r="W41" s="14">
        <f>_xlfn.NORM.DIST(K40,$R$2,$R$3,FALSE)</f>
        <v>0.14025540400233255</v>
      </c>
      <c r="X41" s="7">
        <f>_xlfn.NORM.DIST(L40,$S$2,$S$3,FALSE)</f>
        <v>3.4820077861537929E-2</v>
      </c>
      <c r="Z41" s="16">
        <f>_xlfn.NORM.DIST(I40,$P$5,$P$6,FALSE)</f>
        <v>0.22028193338094873</v>
      </c>
      <c r="AA41" s="16">
        <f>_xlfn.NORM.DIST(J40,$Q$5,$Q$6,FALSE)</f>
        <v>3.6705554599959216E-2</v>
      </c>
      <c r="AB41" s="16">
        <f>_xlfn.NORM.DIST(K40,$R$5,$R$6,FALSE)</f>
        <v>0.18066371272583612</v>
      </c>
      <c r="AC41" s="16">
        <f>_xlfn.NORM.DIST(L40,$S$5,$S$6,FALSE)</f>
        <v>3.7758591936968323E-2</v>
      </c>
      <c r="AH41" s="7">
        <f>$AF$2 * U41 * V41 * W41 * X41</f>
        <v>6.2789528807217463E-7</v>
      </c>
      <c r="AI41" s="7">
        <f>$AF$3 * Z41 * AA41 * AB41 * AC41</f>
        <v>2.655687562447001E-5</v>
      </c>
      <c r="AK41" s="7" t="str">
        <f t="shared" si="2"/>
        <v>ANEMIA</v>
      </c>
    </row>
    <row r="42" spans="1:37" x14ac:dyDescent="0.25">
      <c r="A42" s="10">
        <v>0</v>
      </c>
      <c r="B42" s="10">
        <v>16.600000000000001</v>
      </c>
      <c r="C42" s="10">
        <v>28.4</v>
      </c>
      <c r="D42" s="10">
        <v>31</v>
      </c>
      <c r="E42" s="10">
        <v>75.599999999999994</v>
      </c>
      <c r="F42" s="10">
        <v>0</v>
      </c>
      <c r="H42" s="10">
        <v>1</v>
      </c>
      <c r="I42" s="10">
        <v>11.4</v>
      </c>
      <c r="J42" s="10">
        <v>29.3</v>
      </c>
      <c r="K42" s="10">
        <v>28.7</v>
      </c>
      <c r="L42" s="10">
        <v>95.8</v>
      </c>
      <c r="M42" s="10">
        <v>1</v>
      </c>
      <c r="U42" s="14">
        <f>_xlfn.NORM.DIST(I41,$P$2,$P$3,FALSE)</f>
        <v>0.27331639771686422</v>
      </c>
      <c r="V42" s="14">
        <f>_xlfn.NORM.DIST(J41,$Q$2,$Q$3,FALSE)</f>
        <v>9.7876168739878838E-2</v>
      </c>
      <c r="W42" s="14">
        <f>_xlfn.NORM.DIST(K41,$R$2,$R$3,FALSE)</f>
        <v>0.10158460169025117</v>
      </c>
      <c r="X42" s="7">
        <f>_xlfn.NORM.DIST(L41,$S$2,$S$3,FALSE)</f>
        <v>3.5631522051776797E-2</v>
      </c>
      <c r="Z42" s="16">
        <f>_xlfn.NORM.DIST(I41,$P$5,$P$6,FALSE)</f>
        <v>4.8393314379734602E-4</v>
      </c>
      <c r="AA42" s="16">
        <f>_xlfn.NORM.DIST(J41,$Q$5,$Q$6,FALSE)</f>
        <v>8.1550743700057091E-2</v>
      </c>
      <c r="AB42" s="16">
        <f>_xlfn.NORM.DIST(K41,$R$5,$R$6,FALSE)</f>
        <v>0.13700140718322579</v>
      </c>
      <c r="AC42" s="16">
        <f>_xlfn.NORM.DIST(L41,$S$5,$S$6,FALSE)</f>
        <v>3.8502639153700544E-2</v>
      </c>
      <c r="AH42" s="7">
        <f>$AF$2 * U42 * V42 * W42 * X42</f>
        <v>5.0207567060477922E-5</v>
      </c>
      <c r="AI42" s="7">
        <f>$AF$3 * Z42 * AA42 * AB42 * AC42</f>
        <v>1.0023246439964507E-7</v>
      </c>
      <c r="AK42" s="7" t="str">
        <f t="shared" si="2"/>
        <v>SEHAT</v>
      </c>
    </row>
    <row r="43" spans="1:37" x14ac:dyDescent="0.25">
      <c r="A43" s="10">
        <v>0</v>
      </c>
      <c r="B43" s="10">
        <v>13.6</v>
      </c>
      <c r="C43" s="10">
        <v>29.8</v>
      </c>
      <c r="D43" s="10">
        <v>32.4</v>
      </c>
      <c r="E43" s="10">
        <v>76.599999999999994</v>
      </c>
      <c r="F43" s="10">
        <v>0</v>
      </c>
      <c r="H43" s="10">
        <v>1</v>
      </c>
      <c r="I43" s="10">
        <v>16.100000000000001</v>
      </c>
      <c r="J43" s="10">
        <v>25.9</v>
      </c>
      <c r="K43" s="10">
        <v>31.7</v>
      </c>
      <c r="L43" s="10">
        <v>78</v>
      </c>
      <c r="M43" s="10">
        <v>0</v>
      </c>
      <c r="U43" s="14">
        <f>_xlfn.NORM.DIST(I42,$P$2,$P$3,FALSE)</f>
        <v>1.5762332341604037E-2</v>
      </c>
      <c r="V43" s="14">
        <f>_xlfn.NORM.DIST(J42,$Q$2,$Q$3,FALSE)</f>
        <v>3.1171116670573255E-2</v>
      </c>
      <c r="W43" s="14">
        <f>_xlfn.NORM.DIST(K42,$R$2,$R$3,FALSE)</f>
        <v>0.13021285682780795</v>
      </c>
      <c r="X43" s="7">
        <f>_xlfn.NORM.DIST(L42,$S$2,$S$3,FALSE)</f>
        <v>2.3730430377964941E-2</v>
      </c>
      <c r="Z43" s="16">
        <f>_xlfn.NORM.DIST(I42,$P$5,$P$6,FALSE)</f>
        <v>0.38681197986760779</v>
      </c>
      <c r="AA43" s="16">
        <f>_xlfn.NORM.DIST(J42,$Q$5,$Q$6,FALSE)</f>
        <v>2.1942849767226717E-2</v>
      </c>
      <c r="AB43" s="16">
        <f>_xlfn.NORM.DIST(K42,$R$5,$R$6,FALSE)</f>
        <v>0.16974328118745113</v>
      </c>
      <c r="AC43" s="16">
        <f>_xlfn.NORM.DIST(L42,$S$5,$S$6,FALSE)</f>
        <v>2.6358390637584054E-2</v>
      </c>
      <c r="AH43" s="7">
        <f>$AF$2 * U43 * V43 * W43 * X43</f>
        <v>7.8722086130303284E-7</v>
      </c>
      <c r="AI43" s="7">
        <f>$AF$3 * Z43 * AA43 * AB43 * AC43</f>
        <v>1.8284539074724655E-5</v>
      </c>
      <c r="AK43" s="7" t="str">
        <f t="shared" si="2"/>
        <v>ANEMIA</v>
      </c>
    </row>
    <row r="44" spans="1:37" x14ac:dyDescent="0.25">
      <c r="A44" s="10">
        <v>1</v>
      </c>
      <c r="B44" s="10">
        <v>13.7</v>
      </c>
      <c r="C44" s="10">
        <v>26</v>
      </c>
      <c r="D44" s="10">
        <v>31.4</v>
      </c>
      <c r="E44" s="10">
        <v>82.8</v>
      </c>
      <c r="F44" s="10">
        <v>0</v>
      </c>
      <c r="H44" s="10">
        <v>1</v>
      </c>
      <c r="I44" s="10">
        <v>10.8</v>
      </c>
      <c r="J44" s="10">
        <v>17.5</v>
      </c>
      <c r="K44" s="10">
        <v>29.3</v>
      </c>
      <c r="L44" s="10">
        <v>95.8</v>
      </c>
      <c r="M44" s="10">
        <v>1</v>
      </c>
      <c r="U44" s="14">
        <f>_xlfn.NORM.DIST(I43,$P$2,$P$3,FALSE)</f>
        <v>0.17129099232458947</v>
      </c>
      <c r="V44" s="14">
        <f>_xlfn.NORM.DIST(J43,$Q$2,$Q$3,FALSE)</f>
        <v>8.5060920977593726E-2</v>
      </c>
      <c r="W44" s="14">
        <f>_xlfn.NORM.DIST(K43,$R$2,$R$3,FALSE)</f>
        <v>0.19188439289186823</v>
      </c>
      <c r="X44" s="7">
        <f>_xlfn.NORM.DIST(L43,$S$2,$S$3,FALSE)</f>
        <v>2.9688463215745906E-2</v>
      </c>
      <c r="Z44" s="16">
        <f>_xlfn.NORM.DIST(I43,$P$5,$P$6,FALSE)</f>
        <v>7.4327915072649045E-6</v>
      </c>
      <c r="AA44" s="16">
        <f>_xlfn.NORM.DIST(J43,$Q$5,$Q$6,FALSE)</f>
        <v>6.7335672932358953E-2</v>
      </c>
      <c r="AB44" s="16">
        <f>_xlfn.NORM.DIST(K43,$R$5,$R$6,FALSE)</f>
        <v>0.15285610228881527</v>
      </c>
      <c r="AC44" s="16">
        <f>_xlfn.NORM.DIST(L43,$S$5,$S$6,FALSE)</f>
        <v>2.7606494869815285E-2</v>
      </c>
      <c r="AH44" s="7">
        <f>$AF$2 * U44 * V44 * W44 * X44</f>
        <v>4.303841286211772E-5</v>
      </c>
      <c r="AI44" s="7">
        <f>$AF$3 * Z44 * AA44 * AB44 * AC44</f>
        <v>1.0168825475019655E-9</v>
      </c>
      <c r="AK44" s="7" t="str">
        <f t="shared" si="2"/>
        <v>SEHAT</v>
      </c>
    </row>
    <row r="45" spans="1:37" x14ac:dyDescent="0.25">
      <c r="A45" s="10">
        <v>0</v>
      </c>
      <c r="B45" s="10">
        <v>14.3</v>
      </c>
      <c r="C45" s="10">
        <v>19.2</v>
      </c>
      <c r="D45" s="10">
        <v>30.9</v>
      </c>
      <c r="E45" s="10">
        <v>94.8</v>
      </c>
      <c r="F45" s="10">
        <v>0</v>
      </c>
      <c r="H45" s="10">
        <v>0</v>
      </c>
      <c r="I45" s="10">
        <v>10.6</v>
      </c>
      <c r="J45" s="10">
        <v>28</v>
      </c>
      <c r="K45" s="10">
        <v>30.7</v>
      </c>
      <c r="L45" s="10">
        <v>90.9</v>
      </c>
      <c r="M45" s="10">
        <v>1</v>
      </c>
      <c r="U45" s="14">
        <f>_xlfn.NORM.DIST(I44,$P$2,$P$3,FALSE)</f>
        <v>4.9224186838897404E-3</v>
      </c>
      <c r="V45" s="14">
        <f>_xlfn.NORM.DIST(J44,$Q$2,$Q$3,FALSE)</f>
        <v>3.0986653728610692E-2</v>
      </c>
      <c r="W45" s="14">
        <f>_xlfn.NORM.DIST(K44,$R$2,$R$3,FALSE)</f>
        <v>0.19084304754727885</v>
      </c>
      <c r="X45" s="7">
        <f>_xlfn.NORM.DIST(L44,$S$2,$S$3,FALSE)</f>
        <v>2.3730430377964941E-2</v>
      </c>
      <c r="Z45" s="16">
        <f>_xlfn.NORM.DIST(I44,$P$5,$P$6,FALSE)</f>
        <v>0.22028193338094873</v>
      </c>
      <c r="AA45" s="16">
        <f>_xlfn.NORM.DIST(J44,$Q$5,$Q$6,FALSE)</f>
        <v>4.7730908969950719E-2</v>
      </c>
      <c r="AB45" s="16">
        <f>_xlfn.NORM.DIST(K44,$R$5,$R$6,FALSE)</f>
        <v>0.23050547392356274</v>
      </c>
      <c r="AC45" s="16">
        <f>_xlfn.NORM.DIST(L44,$S$5,$S$6,FALSE)</f>
        <v>2.6358390637584054E-2</v>
      </c>
      <c r="AH45" s="7">
        <f>$AF$2 * U45 * V45 * W45 * X45</f>
        <v>3.5817845506173976E-7</v>
      </c>
      <c r="AI45" s="7">
        <f>$AF$3 * Z45 * AA45 * AB45 * AC45</f>
        <v>3.0758015113031519E-5</v>
      </c>
      <c r="AK45" s="7" t="str">
        <f t="shared" si="2"/>
        <v>SEHAT</v>
      </c>
    </row>
    <row r="46" spans="1:37" x14ac:dyDescent="0.25">
      <c r="A46" s="10">
        <v>1</v>
      </c>
      <c r="B46" s="10">
        <v>14.4</v>
      </c>
      <c r="C46" s="10">
        <v>25.2</v>
      </c>
      <c r="D46" s="10">
        <v>32.200000000000003</v>
      </c>
      <c r="E46" s="10">
        <v>94.9</v>
      </c>
      <c r="F46" s="10">
        <v>0</v>
      </c>
      <c r="H46" s="10">
        <v>1</v>
      </c>
      <c r="I46" s="10">
        <v>12.6</v>
      </c>
      <c r="J46" s="10">
        <v>19.100000000000001</v>
      </c>
      <c r="K46" s="10">
        <v>31.5</v>
      </c>
      <c r="L46" s="10">
        <v>85.9</v>
      </c>
      <c r="M46" s="10">
        <v>1</v>
      </c>
      <c r="U46" s="14">
        <f>_xlfn.NORM.DIST(I45,$P$2,$P$3,FALSE)</f>
        <v>3.1983203032981476E-3</v>
      </c>
      <c r="V46" s="14">
        <f>_xlfn.NORM.DIST(J45,$Q$2,$Q$3,FALSE)</f>
        <v>5.0372680359375893E-2</v>
      </c>
      <c r="W46" s="14">
        <f>_xlfn.NORM.DIST(K45,$R$2,$R$3,FALSE)</f>
        <v>0.2574684391333531</v>
      </c>
      <c r="X46" s="7">
        <f>_xlfn.NORM.DIST(L45,$S$2,$S$3,FALSE)</f>
        <v>3.4302129195628472E-2</v>
      </c>
      <c r="Z46" s="16">
        <f>_xlfn.NORM.DIST(I45,$P$5,$P$6,FALSE)</f>
        <v>0.16552943699811137</v>
      </c>
      <c r="AA46" s="16">
        <f>_xlfn.NORM.DIST(J45,$Q$5,$Q$6,FALSE)</f>
        <v>3.6705554599959216E-2</v>
      </c>
      <c r="AB46" s="16">
        <f>_xlfn.NORM.DIST(K45,$R$5,$R$6,FALSE)</f>
        <v>0.24926534460544672</v>
      </c>
      <c r="AC46" s="16">
        <f>_xlfn.NORM.DIST(L45,$S$5,$S$6,FALSE)</f>
        <v>3.7271827081324344E-2</v>
      </c>
      <c r="AH46" s="7">
        <f>$AF$2 * U46 * V46 * W46 * X46</f>
        <v>7.377791294314745E-7</v>
      </c>
      <c r="AI46" s="7">
        <f>$AF$3 * Z46 * AA46 * AB46 * AC46</f>
        <v>2.7178732656698812E-5</v>
      </c>
      <c r="AK46" s="7" t="str">
        <f t="shared" si="2"/>
        <v>SEHAT</v>
      </c>
    </row>
    <row r="47" spans="1:37" x14ac:dyDescent="0.25">
      <c r="A47" s="10">
        <v>0</v>
      </c>
      <c r="B47" s="10">
        <v>14</v>
      </c>
      <c r="C47" s="10">
        <v>18.2</v>
      </c>
      <c r="D47" s="10">
        <v>29.6</v>
      </c>
      <c r="E47" s="10">
        <v>77.599999999999994</v>
      </c>
      <c r="F47" s="10">
        <v>0</v>
      </c>
      <c r="H47" s="10">
        <v>1</v>
      </c>
      <c r="I47" s="10">
        <v>13.4</v>
      </c>
      <c r="J47" s="10">
        <v>17.8</v>
      </c>
      <c r="K47" s="10">
        <v>32.299999999999997</v>
      </c>
      <c r="L47" s="10">
        <v>101.3</v>
      </c>
      <c r="M47" s="10">
        <v>1</v>
      </c>
      <c r="U47" s="14">
        <f>_xlfn.NORM.DIST(I46,$P$2,$P$3,FALSE)</f>
        <v>9.0163130815003642E-2</v>
      </c>
      <c r="V47" s="14">
        <f>_xlfn.NORM.DIST(J46,$Q$2,$Q$3,FALSE)</f>
        <v>5.5090756147939311E-2</v>
      </c>
      <c r="W47" s="14">
        <f>_xlfn.NORM.DIST(K46,$R$2,$R$3,FALSE)</f>
        <v>0.21051427821998767</v>
      </c>
      <c r="X47" s="7">
        <f>_xlfn.NORM.DIST(L46,$S$2,$S$3,FALSE)</f>
        <v>3.9288447934351205E-2</v>
      </c>
      <c r="Z47" s="16">
        <f>_xlfn.NORM.DIST(I46,$P$5,$P$6,FALSE)</f>
        <v>0.3173127267982101</v>
      </c>
      <c r="AA47" s="16">
        <f>_xlfn.NORM.DIST(J46,$Q$5,$Q$6,FALSE)</f>
        <v>7.1733887502724719E-2</v>
      </c>
      <c r="AB47" s="16">
        <f>_xlfn.NORM.DIST(K46,$R$5,$R$6,FALSE)</f>
        <v>0.17479754962684682</v>
      </c>
      <c r="AC47" s="16">
        <f>_xlfn.NORM.DIST(L46,$S$5,$S$6,FALSE)</f>
        <v>4.0871190404276544E-2</v>
      </c>
      <c r="AH47" s="7">
        <f>$AF$2 * U47 * V47 * W47 * X47</f>
        <v>2.1301903773724077E-5</v>
      </c>
      <c r="AI47" s="7">
        <f>$AF$3 * Z47 * AA47 * AB47 * AC47</f>
        <v>7.8296811037136237E-5</v>
      </c>
      <c r="AK47" s="7" t="str">
        <f t="shared" si="2"/>
        <v>ANEMIA</v>
      </c>
    </row>
    <row r="48" spans="1:37" x14ac:dyDescent="0.25">
      <c r="A48" s="10">
        <v>0</v>
      </c>
      <c r="B48" s="10">
        <v>16.8</v>
      </c>
      <c r="C48" s="10">
        <v>24.4</v>
      </c>
      <c r="D48" s="10">
        <v>28.2</v>
      </c>
      <c r="E48" s="10">
        <v>74.8</v>
      </c>
      <c r="F48" s="10">
        <v>0</v>
      </c>
      <c r="H48" s="10">
        <v>0</v>
      </c>
      <c r="I48" s="10">
        <v>16.600000000000001</v>
      </c>
      <c r="J48" s="10">
        <v>21.7</v>
      </c>
      <c r="K48" s="10">
        <v>30.8</v>
      </c>
      <c r="L48" s="10">
        <v>88.1</v>
      </c>
      <c r="M48" s="10">
        <v>0</v>
      </c>
      <c r="U48" s="14">
        <f>_xlfn.NORM.DIST(I47,$P$2,$P$3,FALSE)</f>
        <v>0.18715802915574634</v>
      </c>
      <c r="V48" s="14">
        <f>_xlfn.NORM.DIST(J47,$Q$2,$Q$3,FALSE)</f>
        <v>3.4994138686593228E-2</v>
      </c>
      <c r="W48" s="14">
        <f>_xlfn.NORM.DIST(K47,$R$2,$R$3,FALSE)</f>
        <v>0.13128007954250642</v>
      </c>
      <c r="X48" s="7">
        <f>_xlfn.NORM.DIST(L47,$S$2,$S$3,FALSE)</f>
        <v>1.1888549887313301E-2</v>
      </c>
      <c r="Z48" s="16">
        <f>_xlfn.NORM.DIST(I47,$P$5,$P$6,FALSE)</f>
        <v>0.10427485145195345</v>
      </c>
      <c r="AA48" s="16">
        <f>_xlfn.NORM.DIST(J47,$Q$5,$Q$6,FALSE)</f>
        <v>5.2154846806635902E-2</v>
      </c>
      <c r="AB48" s="16">
        <f>_xlfn.NORM.DIST(K47,$R$5,$R$6,FALSE)</f>
        <v>9.1663175801628638E-2</v>
      </c>
      <c r="AC48" s="16">
        <f>_xlfn.NORM.DIST(L47,$S$5,$S$6,FALSE)</f>
        <v>1.3209380784274411E-2</v>
      </c>
      <c r="AH48" s="7">
        <f>$AF$2 * U48 * V48 * W48 * X48</f>
        <v>5.3002427316945702E-6</v>
      </c>
      <c r="AI48" s="7">
        <f>$AF$3 * Z48 * AA48 * AB48 * AC48</f>
        <v>3.1705251436351835E-6</v>
      </c>
      <c r="AK48" s="7" t="str">
        <f t="shared" si="2"/>
        <v>ANEMIA</v>
      </c>
    </row>
    <row r="49" spans="1:37" x14ac:dyDescent="0.25">
      <c r="A49" s="10">
        <v>0</v>
      </c>
      <c r="B49" s="10">
        <v>16.899999999999999</v>
      </c>
      <c r="C49" s="10">
        <v>19.3</v>
      </c>
      <c r="D49" s="10">
        <v>29.1</v>
      </c>
      <c r="E49" s="10">
        <v>82.1</v>
      </c>
      <c r="F49" s="10">
        <v>0</v>
      </c>
      <c r="H49" s="10">
        <v>1</v>
      </c>
      <c r="I49" s="10">
        <v>13.3</v>
      </c>
      <c r="J49" s="10">
        <v>25.4</v>
      </c>
      <c r="K49" s="10">
        <v>30.8</v>
      </c>
      <c r="L49" s="10">
        <v>82.9</v>
      </c>
      <c r="M49" s="10">
        <v>1</v>
      </c>
      <c r="U49" s="14">
        <f>_xlfn.NORM.DIST(I48,$P$2,$P$3,FALSE)</f>
        <v>0.10935790940328584</v>
      </c>
      <c r="V49" s="14">
        <f>_xlfn.NORM.DIST(J48,$Q$2,$Q$3,FALSE)</f>
        <v>9.5541372579505068E-2</v>
      </c>
      <c r="W49" s="14">
        <f>_xlfn.NORM.DIST(K48,$R$2,$R$3,FALSE)</f>
        <v>0.25481626624612269</v>
      </c>
      <c r="X49" s="7">
        <f>_xlfn.NORM.DIST(L48,$S$2,$S$3,FALSE)</f>
        <v>3.8134126188841662E-2</v>
      </c>
      <c r="Z49" s="16">
        <f>_xlfn.NORM.DIST(I48,$P$5,$P$6,FALSE)</f>
        <v>4.7557342322713701E-7</v>
      </c>
      <c r="AA49" s="16">
        <f>_xlfn.NORM.DIST(J48,$Q$5,$Q$6,FALSE)</f>
        <v>9.867844251414655E-2</v>
      </c>
      <c r="AB49" s="16">
        <f>_xlfn.NORM.DIST(K48,$R$5,$R$6,FALSE)</f>
        <v>0.24226931078923061</v>
      </c>
      <c r="AC49" s="16">
        <f>_xlfn.NORM.DIST(L48,$S$5,$S$6,FALSE)</f>
        <v>4.0543861296572559E-2</v>
      </c>
      <c r="AH49" s="7">
        <f>$AF$2 * U49 * V49 * W49 * X49</f>
        <v>5.2643759223632921E-5</v>
      </c>
      <c r="AI49" s="7">
        <f>$AF$3 * Z49 * AA49 * AB49 * AC49</f>
        <v>2.2194377178438244E-10</v>
      </c>
      <c r="AK49" s="7" t="str">
        <f t="shared" si="2"/>
        <v>ANEMIA</v>
      </c>
    </row>
    <row r="50" spans="1:37" x14ac:dyDescent="0.25">
      <c r="A50" s="10">
        <v>0</v>
      </c>
      <c r="B50" s="10">
        <v>15</v>
      </c>
      <c r="C50" s="10">
        <v>19.5</v>
      </c>
      <c r="D50" s="10">
        <v>31.3</v>
      </c>
      <c r="E50" s="10">
        <v>71.900000000000006</v>
      </c>
      <c r="F50" s="10">
        <v>0</v>
      </c>
      <c r="H50" s="10">
        <v>1</v>
      </c>
      <c r="I50" s="10">
        <v>14.6</v>
      </c>
      <c r="J50" s="10">
        <v>25.5</v>
      </c>
      <c r="K50" s="10">
        <v>31.8</v>
      </c>
      <c r="L50" s="10">
        <v>83.5</v>
      </c>
      <c r="M50" s="10">
        <v>0</v>
      </c>
      <c r="U50" s="14">
        <f>_xlfn.NORM.DIST(I49,$P$2,$P$3,FALSE)</f>
        <v>0.17409067430398742</v>
      </c>
      <c r="V50" s="14">
        <f>_xlfn.NORM.DIST(J49,$Q$2,$Q$3,FALSE)</f>
        <v>9.2050542808335689E-2</v>
      </c>
      <c r="W50" s="14">
        <f>_xlfn.NORM.DIST(K49,$R$2,$R$3,FALSE)</f>
        <v>0.25481626624612269</v>
      </c>
      <c r="X50" s="7">
        <f>_xlfn.NORM.DIST(L49,$S$2,$S$3,FALSE)</f>
        <v>3.7935286794121094E-2</v>
      </c>
      <c r="Z50" s="16">
        <f>_xlfn.NORM.DIST(I49,$P$5,$P$6,FALSE)</f>
        <v>0.1250918726783207</v>
      </c>
      <c r="AA50" s="16">
        <f>_xlfn.NORM.DIST(J49,$Q$5,$Q$6,FALSE)</f>
        <v>7.4687486494971686E-2</v>
      </c>
      <c r="AB50" s="16">
        <f>_xlfn.NORM.DIST(K49,$R$5,$R$6,FALSE)</f>
        <v>0.24226931078923061</v>
      </c>
      <c r="AC50" s="16">
        <f>_xlfn.NORM.DIST(L49,$S$5,$S$6,FALSE)</f>
        <v>3.8054933308608194E-2</v>
      </c>
      <c r="AH50" s="7">
        <f>$AF$2 * U50 * V50 * W50 * X50</f>
        <v>8.0322395520168328E-5</v>
      </c>
      <c r="AI50" s="7">
        <f>$AF$3 * Z50 * AA50 * AB50 * AC50</f>
        <v>4.1473042367965209E-5</v>
      </c>
      <c r="AK50" s="7" t="str">
        <f t="shared" si="2"/>
        <v>ANEMIA</v>
      </c>
    </row>
    <row r="51" spans="1:37" x14ac:dyDescent="0.25">
      <c r="A51" s="10">
        <v>0</v>
      </c>
      <c r="B51" s="10">
        <v>13.6</v>
      </c>
      <c r="C51" s="10">
        <v>28.8</v>
      </c>
      <c r="D51" s="10">
        <v>32.5</v>
      </c>
      <c r="E51" s="10">
        <v>99.6</v>
      </c>
      <c r="F51" s="10">
        <v>0</v>
      </c>
      <c r="H51" s="10">
        <v>0</v>
      </c>
      <c r="I51" s="10">
        <v>13.4</v>
      </c>
      <c r="J51" s="10">
        <v>26.3</v>
      </c>
      <c r="K51" s="10">
        <v>28.5</v>
      </c>
      <c r="L51" s="10">
        <v>84.6</v>
      </c>
      <c r="M51" s="10">
        <v>0</v>
      </c>
      <c r="U51" s="14">
        <f>_xlfn.NORM.DIST(I50,$P$2,$P$3,FALSE)</f>
        <v>0.29264317394837092</v>
      </c>
      <c r="V51" s="14">
        <f>_xlfn.NORM.DIST(J50,$Q$2,$Q$3,FALSE)</f>
        <v>9.0735816670040687E-2</v>
      </c>
      <c r="W51" s="14">
        <f>_xlfn.NORM.DIST(K50,$R$2,$R$3,FALSE)</f>
        <v>0.18203776962079443</v>
      </c>
      <c r="X51" s="7">
        <f>_xlfn.NORM.DIST(L50,$S$2,$S$3,FALSE)</f>
        <v>3.8470066633719574E-2</v>
      </c>
      <c r="Z51" s="16">
        <f>_xlfn.NORM.DIST(I50,$P$5,$P$6,FALSE)</f>
        <v>4.5109526735461801E-3</v>
      </c>
      <c r="AA51" s="16">
        <f>_xlfn.NORM.DIST(J50,$Q$5,$Q$6,FALSE)</f>
        <v>7.3247553024060538E-2</v>
      </c>
      <c r="AB51" s="16">
        <f>_xlfn.NORM.DIST(K50,$R$5,$R$6,FALSE)</f>
        <v>0.14197058240537561</v>
      </c>
      <c r="AC51" s="16">
        <f>_xlfn.NORM.DIST(L50,$S$5,$S$6,FALSE)</f>
        <v>3.8896804728219471E-2</v>
      </c>
      <c r="AH51" s="7">
        <f>$AF$2 * U51 * V51 * W51 * X51</f>
        <v>9.6419720165852205E-5</v>
      </c>
      <c r="AI51" s="7">
        <f>$AF$3 * Z51 * AA51 * AB51 * AC51</f>
        <v>8.7852327174443911E-7</v>
      </c>
      <c r="AK51" s="7" t="str">
        <f t="shared" si="2"/>
        <v>ANEMIA</v>
      </c>
    </row>
    <row r="52" spans="1:37" x14ac:dyDescent="0.25">
      <c r="A52" s="10">
        <v>0</v>
      </c>
      <c r="B52" s="10">
        <v>16</v>
      </c>
      <c r="C52" s="10">
        <v>23.6</v>
      </c>
      <c r="D52" s="10">
        <v>29.4</v>
      </c>
      <c r="E52" s="10">
        <v>95.6</v>
      </c>
      <c r="F52" s="10">
        <v>0</v>
      </c>
      <c r="H52" s="10">
        <v>0</v>
      </c>
      <c r="I52" s="10">
        <v>13</v>
      </c>
      <c r="J52" s="10">
        <v>28.3</v>
      </c>
      <c r="K52" s="10">
        <v>30</v>
      </c>
      <c r="L52" s="10">
        <v>83</v>
      </c>
      <c r="M52" s="10">
        <v>0</v>
      </c>
      <c r="U52" s="14">
        <f>_xlfn.NORM.DIST(I51,$P$2,$P$3,FALSE)</f>
        <v>0.18715802915574634</v>
      </c>
      <c r="V52" s="14">
        <f>_xlfn.NORM.DIST(J51,$Q$2,$Q$3,FALSE)</f>
        <v>7.8847546250881098E-2</v>
      </c>
      <c r="W52" s="14">
        <f>_xlfn.NORM.DIST(K51,$R$2,$R$3,FALSE)</f>
        <v>0.11081741277411929</v>
      </c>
      <c r="X52" s="7">
        <f>_xlfn.NORM.DIST(L51,$S$2,$S$3,FALSE)</f>
        <v>3.9113545060978958E-2</v>
      </c>
      <c r="Z52" s="16">
        <f>_xlfn.NORM.DIST(I51,$P$5,$P$6,FALSE)</f>
        <v>0.10427485145195345</v>
      </c>
      <c r="AA52" s="16">
        <f>_xlfn.NORM.DIST(J51,$Q$5,$Q$6,FALSE)</f>
        <v>6.1281706668194248E-2</v>
      </c>
      <c r="AB52" s="16">
        <f>_xlfn.NORM.DIST(K51,$R$5,$R$6,FALSE)</f>
        <v>0.14781538587841889</v>
      </c>
      <c r="AC52" s="16">
        <f>_xlfn.NORM.DIST(L51,$S$5,$S$6,FALSE)</f>
        <v>4.009113967011925E-2</v>
      </c>
      <c r="AH52" s="7">
        <f>$AF$2 * U52 * V52 * W52 * X52</f>
        <v>3.3166229682656155E-5</v>
      </c>
      <c r="AI52" s="7">
        <f>$AF$3 * Z52 * AA52 * AB52 * AC52</f>
        <v>1.8232997114844987E-5</v>
      </c>
      <c r="AK52" s="7" t="str">
        <f t="shared" si="2"/>
        <v>SEHAT</v>
      </c>
    </row>
    <row r="53" spans="1:37" x14ac:dyDescent="0.25">
      <c r="A53" s="10">
        <v>0</v>
      </c>
      <c r="B53" s="10">
        <v>13.2</v>
      </c>
      <c r="C53" s="10">
        <v>25.6</v>
      </c>
      <c r="D53" s="10">
        <v>31.1</v>
      </c>
      <c r="E53" s="10">
        <v>100.4</v>
      </c>
      <c r="F53" s="10">
        <v>0</v>
      </c>
      <c r="H53" s="10">
        <v>1</v>
      </c>
      <c r="I53" s="10">
        <v>12.8</v>
      </c>
      <c r="J53" s="10">
        <v>21.6</v>
      </c>
      <c r="K53" s="10">
        <v>28.3</v>
      </c>
      <c r="L53" s="10">
        <v>81.2</v>
      </c>
      <c r="M53" s="10">
        <v>1</v>
      </c>
      <c r="U53" s="14">
        <f>_xlfn.NORM.DIST(I52,$P$2,$P$3,FALSE)</f>
        <v>0.13564215337257729</v>
      </c>
      <c r="V53" s="14">
        <f>_xlfn.NORM.DIST(J52,$Q$2,$Q$3,FALSE)</f>
        <v>4.5570133264228034E-2</v>
      </c>
      <c r="W53" s="14">
        <f>_xlfn.NORM.DIST(K52,$R$2,$R$3,FALSE)</f>
        <v>0.24588630607581097</v>
      </c>
      <c r="X53" s="7">
        <f>_xlfn.NORM.DIST(L52,$S$2,$S$3,FALSE)</f>
        <v>3.8033126162987645E-2</v>
      </c>
      <c r="Z53" s="16">
        <f>_xlfn.NORM.DIST(I52,$P$5,$P$6,FALSE)</f>
        <v>0.20064584233468899</v>
      </c>
      <c r="AA53" s="16">
        <f>_xlfn.NORM.DIST(J52,$Q$5,$Q$6,FALSE)</f>
        <v>3.2905048405755914E-2</v>
      </c>
      <c r="AB53" s="16">
        <f>_xlfn.NORM.DIST(K52,$R$5,$R$6,FALSE)</f>
        <v>0.26790932063896344</v>
      </c>
      <c r="AC53" s="16">
        <f>_xlfn.NORM.DIST(L52,$S$5,$S$6,FALSE)</f>
        <v>3.8204052600499916E-2</v>
      </c>
      <c r="AH53" s="7">
        <f>$AF$2 * U53 * V53 * W53 * X53</f>
        <v>2.9973372610122447E-5</v>
      </c>
      <c r="AI53" s="7">
        <f>$AF$3 * Z53 * AA53 * AB53 * AC53</f>
        <v>3.2536403443062867E-5</v>
      </c>
      <c r="AK53" s="7" t="str">
        <f t="shared" si="2"/>
        <v>SEHAT</v>
      </c>
    </row>
    <row r="54" spans="1:37" x14ac:dyDescent="0.25">
      <c r="A54" s="10">
        <v>0</v>
      </c>
      <c r="B54" s="10">
        <v>13</v>
      </c>
      <c r="C54" s="10">
        <v>26.2</v>
      </c>
      <c r="D54" s="10">
        <v>31.3</v>
      </c>
      <c r="E54" s="10">
        <v>74.900000000000006</v>
      </c>
      <c r="F54" s="10">
        <v>0</v>
      </c>
      <c r="H54" s="10">
        <v>0</v>
      </c>
      <c r="I54" s="10">
        <v>10.6</v>
      </c>
      <c r="J54" s="10">
        <v>25.6</v>
      </c>
      <c r="K54" s="10">
        <v>28</v>
      </c>
      <c r="L54" s="10">
        <v>72.099999999999994</v>
      </c>
      <c r="M54" s="10">
        <v>1</v>
      </c>
      <c r="U54" s="14">
        <f>_xlfn.NORM.DIST(I53,$P$2,$P$3,FALSE)</f>
        <v>0.11179073660646385</v>
      </c>
      <c r="V54" s="14">
        <f>_xlfn.NORM.DIST(J53,$Q$2,$Q$3,FALSE)</f>
        <v>9.4366460376283462E-2</v>
      </c>
      <c r="W54" s="14">
        <f>_xlfn.NORM.DIST(K53,$R$2,$R$3,FALSE)</f>
        <v>9.2727729977348294E-2</v>
      </c>
      <c r="X54" s="7">
        <f>_xlfn.NORM.DIST(L53,$S$2,$S$3,FALSE)</f>
        <v>3.5774727987110733E-2</v>
      </c>
      <c r="Z54" s="16">
        <f>_xlfn.NORM.DIST(I53,$P$5,$P$6,FALSE)</f>
        <v>0.25858777268703714</v>
      </c>
      <c r="AA54" s="16">
        <f>_xlfn.NORM.DIST(J53,$Q$5,$Q$6,FALSE)</f>
        <v>9.8244155076949863E-2</v>
      </c>
      <c r="AB54" s="16">
        <f>_xlfn.NORM.DIST(K53,$R$5,$R$6,FALSE)</f>
        <v>0.12640327392529141</v>
      </c>
      <c r="AC54" s="16">
        <f>_xlfn.NORM.DIST(L53,$S$5,$S$6,FALSE)</f>
        <v>3.503651352010325E-2</v>
      </c>
      <c r="AH54" s="7">
        <f>$AF$2 * U54 * V54 * W54 * X54</f>
        <v>1.8145699855456922E-5</v>
      </c>
      <c r="AI54" s="7">
        <f>$AF$3 * Z54 * AA54 * AB54 * AC54</f>
        <v>5.4171829286318943E-5</v>
      </c>
      <c r="AK54" s="7" t="str">
        <f t="shared" si="2"/>
        <v>SEHAT</v>
      </c>
    </row>
    <row r="55" spans="1:37" x14ac:dyDescent="0.25">
      <c r="A55" s="10">
        <v>0</v>
      </c>
      <c r="B55" s="10">
        <v>14.3</v>
      </c>
      <c r="C55" s="10">
        <v>16.2</v>
      </c>
      <c r="D55" s="10">
        <v>29.5</v>
      </c>
      <c r="E55" s="10">
        <v>95.2</v>
      </c>
      <c r="F55" s="10">
        <v>0</v>
      </c>
      <c r="H55" s="10">
        <v>0</v>
      </c>
      <c r="I55" s="10">
        <v>14.3</v>
      </c>
      <c r="J55" s="10">
        <v>27.6</v>
      </c>
      <c r="K55" s="10">
        <v>32.299999999999997</v>
      </c>
      <c r="L55" s="10">
        <v>74.3</v>
      </c>
      <c r="M55" s="10">
        <v>0</v>
      </c>
      <c r="U55" s="14">
        <f>_xlfn.NORM.DIST(I54,$P$2,$P$3,FALSE)</f>
        <v>3.1983203032981476E-3</v>
      </c>
      <c r="V55" s="14">
        <f>_xlfn.NORM.DIST(J54,$Q$2,$Q$3,FALSE)</f>
        <v>8.9376907654875895E-2</v>
      </c>
      <c r="W55" s="14">
        <f>_xlfn.NORM.DIST(K54,$R$2,$R$3,FALSE)</f>
        <v>6.8758451877375684E-2</v>
      </c>
      <c r="X55" s="7">
        <f>_xlfn.NORM.DIST(L54,$S$2,$S$3,FALSE)</f>
        <v>1.6221681509107837E-2</v>
      </c>
      <c r="Z55" s="16">
        <f>_xlfn.NORM.DIST(I54,$P$5,$P$6,FALSE)</f>
        <v>0.16552943699811137</v>
      </c>
      <c r="AA55" s="16">
        <f>_xlfn.NORM.DIST(J54,$Q$5,$Q$6,FALSE)</f>
        <v>7.1790254882220891E-2</v>
      </c>
      <c r="AB55" s="16">
        <f>_xlfn.NORM.DIST(K54,$R$5,$R$6,FALSE)</f>
        <v>9.6610794909100323E-2</v>
      </c>
      <c r="AC55" s="16">
        <f>_xlfn.NORM.DIST(L54,$S$5,$S$6,FALSE)</f>
        <v>1.3398696793248276E-2</v>
      </c>
      <c r="AH55" s="7">
        <f>$AF$2 * U55 * V55 * W55 * X55</f>
        <v>1.6532308895243509E-7</v>
      </c>
      <c r="AI55" s="7">
        <f>$AF$3 * Z55 * AA55 * AB55 * AC55</f>
        <v>7.4064234096947598E-6</v>
      </c>
      <c r="AK55" s="7" t="str">
        <f t="shared" si="2"/>
        <v>ANEMIA</v>
      </c>
    </row>
    <row r="56" spans="1:37" x14ac:dyDescent="0.25">
      <c r="A56" s="10">
        <v>1</v>
      </c>
      <c r="B56" s="10">
        <v>15.1</v>
      </c>
      <c r="C56" s="10">
        <v>21.3</v>
      </c>
      <c r="D56" s="10">
        <v>32.4</v>
      </c>
      <c r="E56" s="10">
        <v>100.6</v>
      </c>
      <c r="F56" s="10">
        <v>0</v>
      </c>
      <c r="H56" s="10">
        <v>1</v>
      </c>
      <c r="I56" s="10">
        <v>13.1</v>
      </c>
      <c r="J56" s="10">
        <v>26.9</v>
      </c>
      <c r="K56" s="10">
        <v>29.5</v>
      </c>
      <c r="L56" s="10">
        <v>77.599999999999994</v>
      </c>
      <c r="M56" s="10">
        <v>1</v>
      </c>
      <c r="U56" s="14">
        <f>_xlfn.NORM.DIST(I55,$P$2,$P$3,FALSE)</f>
        <v>0.28150773605448098</v>
      </c>
      <c r="V56" s="14">
        <f>_xlfn.NORM.DIST(J55,$Q$2,$Q$3,FALSE)</f>
        <v>5.700765413019479E-2</v>
      </c>
      <c r="W56" s="14">
        <f>_xlfn.NORM.DIST(K55,$R$2,$R$3,FALSE)</f>
        <v>0.13128007954250642</v>
      </c>
      <c r="X56" s="7">
        <f>_xlfn.NORM.DIST(L55,$S$2,$S$3,FALSE)</f>
        <v>2.1141309010614409E-2</v>
      </c>
      <c r="Z56" s="16">
        <f>_xlfn.NORM.DIST(I55,$P$5,$P$6,FALSE)</f>
        <v>1.1671533213802886E-2</v>
      </c>
      <c r="AA56" s="16">
        <f>_xlfn.NORM.DIST(J55,$Q$5,$Q$6,FALSE)</f>
        <v>4.2092381700670908E-2</v>
      </c>
      <c r="AB56" s="16">
        <f>_xlfn.NORM.DIST(K55,$R$5,$R$6,FALSE)</f>
        <v>9.1663175801628638E-2</v>
      </c>
      <c r="AC56" s="16">
        <f>_xlfn.NORM.DIST(L55,$S$5,$S$6,FALSE)</f>
        <v>1.8314368135899661E-2</v>
      </c>
      <c r="AH56" s="7">
        <f>$AF$2 * U56 * V56 * W56 * X56</f>
        <v>2.3095027357272618E-5</v>
      </c>
      <c r="AI56" s="7">
        <f>$AF$3 * Z56 * AA56 * AB56 * AC56</f>
        <v>3.9709812641142429E-7</v>
      </c>
      <c r="AK56" s="7" t="str">
        <f t="shared" si="2"/>
        <v>ANEMIA</v>
      </c>
    </row>
    <row r="57" spans="1:37" x14ac:dyDescent="0.25">
      <c r="A57" s="10">
        <v>1</v>
      </c>
      <c r="B57" s="10">
        <v>14.8</v>
      </c>
      <c r="C57" s="10">
        <v>19.5</v>
      </c>
      <c r="D57" s="10">
        <v>32.200000000000003</v>
      </c>
      <c r="E57" s="10">
        <v>72.099999999999994</v>
      </c>
      <c r="F57" s="10">
        <v>0</v>
      </c>
      <c r="H57" s="10">
        <v>0</v>
      </c>
      <c r="I57" s="10">
        <v>13.1</v>
      </c>
      <c r="J57" s="10">
        <v>27</v>
      </c>
      <c r="K57" s="10">
        <v>32.4</v>
      </c>
      <c r="L57" s="10">
        <v>97.8</v>
      </c>
      <c r="M57" s="10">
        <v>0</v>
      </c>
      <c r="U57" s="14">
        <f>_xlfn.NORM.DIST(I56,$P$2,$P$3,FALSE)</f>
        <v>0.14820696494971941</v>
      </c>
      <c r="V57" s="14">
        <f>_xlfn.NORM.DIST(J56,$Q$2,$Q$3,FALSE)</f>
        <v>6.8897035620002725E-2</v>
      </c>
      <c r="W57" s="14">
        <f>_xlfn.NORM.DIST(K56,$R$2,$R$3,FALSE)</f>
        <v>0.20956180622006423</v>
      </c>
      <c r="X57" s="7">
        <f>_xlfn.NORM.DIST(L56,$S$2,$S$3,FALSE)</f>
        <v>2.8802412968162924E-2</v>
      </c>
      <c r="Z57" s="16">
        <f>_xlfn.NORM.DIST(I56,$P$5,$P$6,FALSE)</f>
        <v>0.17352193688442297</v>
      </c>
      <c r="AA57" s="16">
        <f>_xlfn.NORM.DIST(J56,$Q$5,$Q$6,FALSE)</f>
        <v>5.2212231283095829E-2</v>
      </c>
      <c r="AB57" s="16">
        <f>_xlfn.NORM.DIST(K56,$R$5,$R$6,FALSE)</f>
        <v>0.24615050169404551</v>
      </c>
      <c r="AC57" s="16">
        <f>_xlfn.NORM.DIST(L56,$S$5,$S$6,FALSE)</f>
        <v>2.6593216543614153E-2</v>
      </c>
      <c r="AH57" s="7">
        <f>$AF$2 * U57 * V57 * W57 * X57</f>
        <v>3.1957619932752159E-5</v>
      </c>
      <c r="AI57" s="7">
        <f>$AF$3 * Z57 * AA57 * AB57 * AC57</f>
        <v>2.8554714560725797E-5</v>
      </c>
      <c r="AK57" s="7" t="str">
        <f t="shared" si="2"/>
        <v>ANEMIA</v>
      </c>
    </row>
    <row r="58" spans="1:37" x14ac:dyDescent="0.25">
      <c r="A58" s="10">
        <v>1</v>
      </c>
      <c r="B58" s="10">
        <v>11.6</v>
      </c>
      <c r="C58" s="10">
        <v>18</v>
      </c>
      <c r="D58" s="10">
        <v>32.200000000000003</v>
      </c>
      <c r="E58" s="10">
        <v>98.9</v>
      </c>
      <c r="F58" s="10">
        <v>1</v>
      </c>
      <c r="H58" s="10">
        <v>0</v>
      </c>
      <c r="I58" s="10">
        <v>15.5</v>
      </c>
      <c r="J58" s="10">
        <v>26.9</v>
      </c>
      <c r="K58" s="10">
        <v>28</v>
      </c>
      <c r="L58" s="10">
        <v>72.7</v>
      </c>
      <c r="M58" s="10">
        <v>0</v>
      </c>
      <c r="U58" s="14">
        <f>_xlfn.NORM.DIST(I57,$P$2,$P$3,FALSE)</f>
        <v>0.14820696494971941</v>
      </c>
      <c r="V58" s="14">
        <f>_xlfn.NORM.DIST(J57,$Q$2,$Q$3,FALSE)</f>
        <v>6.7199421645412122E-2</v>
      </c>
      <c r="W58" s="14">
        <f>_xlfn.NORM.DIST(K57,$R$2,$R$3,FALSE)</f>
        <v>0.12142046954026794</v>
      </c>
      <c r="X58" s="7">
        <f>_xlfn.NORM.DIST(L57,$S$2,$S$3,FALSE)</f>
        <v>1.9094364491071478E-2</v>
      </c>
      <c r="Z58" s="16">
        <f>_xlfn.NORM.DIST(I57,$P$5,$P$6,FALSE)</f>
        <v>0.17352193688442297</v>
      </c>
      <c r="AA58" s="16">
        <f>_xlfn.NORM.DIST(J57,$Q$5,$Q$6,FALSE)</f>
        <v>5.0725226542937429E-2</v>
      </c>
      <c r="AB58" s="16">
        <f>_xlfn.NORM.DIST(K57,$R$5,$R$6,FALSE)</f>
        <v>8.2847218410093668E-2</v>
      </c>
      <c r="AC58" s="16">
        <f>_xlfn.NORM.DIST(L57,$S$5,$S$6,FALSE)</f>
        <v>2.1274759037792825E-2</v>
      </c>
      <c r="AH58" s="7">
        <f>$AF$2 * U58 * V58 * W58 * X58</f>
        <v>1.1972794738068805E-5</v>
      </c>
      <c r="AI58" s="7">
        <f>$AF$3 * Z58 * AA58 * AB58 * AC58</f>
        <v>7.4696551385516212E-6</v>
      </c>
      <c r="AK58" s="7" t="str">
        <f t="shared" si="2"/>
        <v>ANEMIA</v>
      </c>
    </row>
    <row r="59" spans="1:37" x14ac:dyDescent="0.25">
      <c r="A59" s="10">
        <v>1</v>
      </c>
      <c r="B59" s="10">
        <v>11.2</v>
      </c>
      <c r="C59" s="10">
        <v>27.8</v>
      </c>
      <c r="D59" s="10">
        <v>32.200000000000003</v>
      </c>
      <c r="E59" s="10">
        <v>95.8</v>
      </c>
      <c r="F59" s="10">
        <v>1</v>
      </c>
      <c r="H59" s="10">
        <v>0</v>
      </c>
      <c r="I59" s="10">
        <v>14</v>
      </c>
      <c r="J59" s="10">
        <v>26.9</v>
      </c>
      <c r="K59" s="10">
        <v>28</v>
      </c>
      <c r="L59" s="10">
        <v>89.9</v>
      </c>
      <c r="M59" s="10">
        <v>0</v>
      </c>
      <c r="U59" s="14">
        <f>_xlfn.NORM.DIST(I58,$P$2,$P$3,FALSE)</f>
        <v>0.2455528129044415</v>
      </c>
      <c r="V59" s="14">
        <f>_xlfn.NORM.DIST(J58,$Q$2,$Q$3,FALSE)</f>
        <v>6.8897035620002725E-2</v>
      </c>
      <c r="W59" s="14">
        <f>_xlfn.NORM.DIST(K58,$R$2,$R$3,FALSE)</f>
        <v>6.8758451877375684E-2</v>
      </c>
      <c r="X59" s="7">
        <f>_xlfn.NORM.DIST(L58,$S$2,$S$3,FALSE)</f>
        <v>1.7518335403512393E-2</v>
      </c>
      <c r="Z59" s="16">
        <f>_xlfn.NORM.DIST(I58,$P$5,$P$6,FALSE)</f>
        <v>1.3432662505447092E-4</v>
      </c>
      <c r="AA59" s="16">
        <f>_xlfn.NORM.DIST(J58,$Q$5,$Q$6,FALSE)</f>
        <v>5.2212231283095829E-2</v>
      </c>
      <c r="AB59" s="16">
        <f>_xlfn.NORM.DIST(K58,$R$5,$R$6,FALSE)</f>
        <v>9.6610794909100323E-2</v>
      </c>
      <c r="AC59" s="16">
        <f>_xlfn.NORM.DIST(L58,$S$5,$S$6,FALSE)</f>
        <v>1.4664957018375483E-2</v>
      </c>
      <c r="AH59" s="7">
        <f>$AF$2 * U59 * V59 * W59 * X59</f>
        <v>1.0566438949596103E-5</v>
      </c>
      <c r="AI59" s="7">
        <f>$AF$3 * Z59 * AA59 * AB59 * AC59</f>
        <v>4.7843219241279916E-9</v>
      </c>
      <c r="AK59" s="7" t="str">
        <f t="shared" si="2"/>
        <v>ANEMIA</v>
      </c>
    </row>
    <row r="60" spans="1:37" x14ac:dyDescent="0.25">
      <c r="A60" s="10">
        <v>0</v>
      </c>
      <c r="B60" s="10">
        <v>11.7</v>
      </c>
      <c r="C60" s="10">
        <v>16.8</v>
      </c>
      <c r="D60" s="10">
        <v>32.200000000000003</v>
      </c>
      <c r="E60" s="10">
        <v>73.599999999999994</v>
      </c>
      <c r="F60" s="10">
        <v>1</v>
      </c>
      <c r="H60" s="10">
        <v>1</v>
      </c>
      <c r="I60" s="10">
        <v>15.3</v>
      </c>
      <c r="J60" s="10">
        <v>28.9</v>
      </c>
      <c r="K60" s="10">
        <v>31.6</v>
      </c>
      <c r="L60" s="10">
        <v>76.3</v>
      </c>
      <c r="M60" s="10">
        <v>0</v>
      </c>
      <c r="U60" s="14">
        <f>_xlfn.NORM.DIST(I59,$P$2,$P$3,FALSE)</f>
        <v>0.25794037296995898</v>
      </c>
      <c r="V60" s="14">
        <f>_xlfn.NORM.DIST(J59,$Q$2,$Q$3,FALSE)</f>
        <v>6.8897035620002725E-2</v>
      </c>
      <c r="W60" s="14">
        <f>_xlfn.NORM.DIST(K59,$R$2,$R$3,FALSE)</f>
        <v>6.8758451877375684E-2</v>
      </c>
      <c r="X60" s="7">
        <f>_xlfn.NORM.DIST(L59,$S$2,$S$3,FALSE)</f>
        <v>3.5936943218257217E-2</v>
      </c>
      <c r="Z60" s="16">
        <f>_xlfn.NORM.DIST(I59,$P$5,$P$6,FALSE)</f>
        <v>2.7043714447110092E-2</v>
      </c>
      <c r="AA60" s="16">
        <f>_xlfn.NORM.DIST(J59,$Q$5,$Q$6,FALSE)</f>
        <v>5.2212231283095829E-2</v>
      </c>
      <c r="AB60" s="16">
        <f>_xlfn.NORM.DIST(K59,$R$5,$R$6,FALSE)</f>
        <v>9.6610794909100323E-2</v>
      </c>
      <c r="AC60" s="16">
        <f>_xlfn.NORM.DIST(L59,$S$5,$S$6,FALSE)</f>
        <v>3.8775676568094219E-2</v>
      </c>
      <c r="AH60" s="7">
        <f>$AF$2 * U60 * V60 * W60 * X60</f>
        <v>2.2769387830917238E-5</v>
      </c>
      <c r="AI60" s="7">
        <f>$AF$3 * Z60 * AA60 * AB60 * AC60</f>
        <v>2.5468491508605102E-6</v>
      </c>
      <c r="AK60" s="7" t="str">
        <f t="shared" si="2"/>
        <v>ANEMIA</v>
      </c>
    </row>
    <row r="61" spans="1:37" x14ac:dyDescent="0.25">
      <c r="A61" s="10">
        <v>0</v>
      </c>
      <c r="B61" s="10">
        <v>11.1</v>
      </c>
      <c r="C61" s="10">
        <v>24.7</v>
      </c>
      <c r="D61" s="10">
        <v>32.1</v>
      </c>
      <c r="E61" s="10">
        <v>96.7</v>
      </c>
      <c r="F61" s="10">
        <v>1</v>
      </c>
      <c r="H61" s="10">
        <v>1</v>
      </c>
      <c r="I61" s="10">
        <v>14.3</v>
      </c>
      <c r="J61" s="10">
        <v>20.399999999999999</v>
      </c>
      <c r="K61" s="10">
        <v>28</v>
      </c>
      <c r="L61" s="10">
        <v>97.4</v>
      </c>
      <c r="M61" s="10">
        <v>0</v>
      </c>
      <c r="U61" s="14">
        <f>_xlfn.NORM.DIST(I60,$P$2,$P$3,FALSE)</f>
        <v>0.26515862439382859</v>
      </c>
      <c r="V61" s="14">
        <f>_xlfn.NORM.DIST(J60,$Q$2,$Q$3,FALSE)</f>
        <v>3.6592615772153024E-2</v>
      </c>
      <c r="W61" s="14">
        <f>_xlfn.NORM.DIST(K60,$R$2,$R$3,FALSE)</f>
        <v>0.2014093693482143</v>
      </c>
      <c r="X61" s="7">
        <f>_xlfn.NORM.DIST(L60,$S$2,$S$3,FALSE)</f>
        <v>2.5822859792317906E-2</v>
      </c>
      <c r="Z61" s="16">
        <f>_xlfn.NORM.DIST(I60,$P$5,$P$6,FALSE)</f>
        <v>3.1957210102836998E-4</v>
      </c>
      <c r="AA61" s="16">
        <f>_xlfn.NORM.DIST(J60,$Q$5,$Q$6,FALSE)</f>
        <v>2.5998941036103684E-2</v>
      </c>
      <c r="AB61" s="16">
        <f>_xlfn.NORM.DIST(K60,$R$5,$R$6,FALSE)</f>
        <v>0.16383063201677867</v>
      </c>
      <c r="AC61" s="16">
        <f>_xlfn.NORM.DIST(L60,$S$5,$S$6,FALSE)</f>
        <v>2.3276752340926379E-2</v>
      </c>
      <c r="AH61" s="7">
        <f>$AF$2 * U61 * V61 * W61 * X61</f>
        <v>2.6166611785530513E-5</v>
      </c>
      <c r="AI61" s="7">
        <f>$AF$3 * Z61 * AA61 * AB61 * AC61</f>
        <v>1.5255329683559038E-8</v>
      </c>
      <c r="AK61" s="7" t="str">
        <f t="shared" si="2"/>
        <v>ANEMIA</v>
      </c>
    </row>
    <row r="62" spans="1:37" x14ac:dyDescent="0.25">
      <c r="A62" s="10">
        <v>1</v>
      </c>
      <c r="B62" s="10">
        <v>10.8</v>
      </c>
      <c r="C62" s="10">
        <v>19.8</v>
      </c>
      <c r="D62" s="10">
        <v>30.8</v>
      </c>
      <c r="E62" s="10">
        <v>99.6</v>
      </c>
      <c r="F62" s="10">
        <v>1</v>
      </c>
      <c r="H62" s="10">
        <v>0</v>
      </c>
      <c r="I62" s="10">
        <v>11.1</v>
      </c>
      <c r="J62" s="10">
        <v>16.100000000000001</v>
      </c>
      <c r="K62" s="10">
        <v>32.5</v>
      </c>
      <c r="L62" s="10">
        <v>77.099999999999994</v>
      </c>
      <c r="M62" s="10">
        <v>1</v>
      </c>
      <c r="U62" s="14">
        <f>_xlfn.NORM.DIST(I61,$P$2,$P$3,FALSE)</f>
        <v>0.28150773605448098</v>
      </c>
      <c r="V62" s="14">
        <f>_xlfn.NORM.DIST(J61,$Q$2,$Q$3,FALSE)</f>
        <v>7.6997647395806473E-2</v>
      </c>
      <c r="W62" s="14">
        <f>_xlfn.NORM.DIST(K61,$R$2,$R$3,FALSE)</f>
        <v>6.8758451877375684E-2</v>
      </c>
      <c r="X62" s="7">
        <f>_xlfn.NORM.DIST(L61,$S$2,$S$3,FALSE)</f>
        <v>2.0004803838322267E-2</v>
      </c>
      <c r="Z62" s="16">
        <f>_xlfn.NORM.DIST(I61,$P$5,$P$6,FALSE)</f>
        <v>1.1671533213802886E-2</v>
      </c>
      <c r="AA62" s="16">
        <f>_xlfn.NORM.DIST(J61,$Q$5,$Q$6,FALSE)</f>
        <v>8.8722459274382548E-2</v>
      </c>
      <c r="AB62" s="16">
        <f>_xlfn.NORM.DIST(K61,$R$5,$R$6,FALSE)</f>
        <v>9.6610794909100323E-2</v>
      </c>
      <c r="AC62" s="16">
        <f>_xlfn.NORM.DIST(L61,$S$5,$S$6,FALSE)</f>
        <v>2.2281422758245933E-2</v>
      </c>
      <c r="AH62" s="7">
        <f>$AF$2 * U62 * V62 * W62 * X62</f>
        <v>1.5459393382158051E-5</v>
      </c>
      <c r="AI62" s="7">
        <f>$AF$3 * Z62 * AA62 * AB62 * AC62</f>
        <v>1.0732716161341335E-6</v>
      </c>
      <c r="AK62" s="7" t="str">
        <f t="shared" si="2"/>
        <v>SEHAT</v>
      </c>
    </row>
    <row r="63" spans="1:37" x14ac:dyDescent="0.25">
      <c r="A63" s="10">
        <v>0</v>
      </c>
      <c r="B63" s="10">
        <v>10.9</v>
      </c>
      <c r="C63" s="10">
        <v>28.6</v>
      </c>
      <c r="D63" s="10">
        <v>28.6</v>
      </c>
      <c r="E63" s="10">
        <v>84.8</v>
      </c>
      <c r="F63" s="10">
        <v>1</v>
      </c>
      <c r="H63" s="10">
        <v>1</v>
      </c>
      <c r="I63" s="10">
        <v>14.4</v>
      </c>
      <c r="J63" s="10">
        <v>18.100000000000001</v>
      </c>
      <c r="K63" s="10">
        <v>28.7</v>
      </c>
      <c r="L63" s="10">
        <v>80.2</v>
      </c>
      <c r="M63" s="10">
        <v>0</v>
      </c>
      <c r="U63" s="14">
        <f>_xlfn.NORM.DIST(I62,$P$2,$P$3,FALSE)</f>
        <v>9.0252863212512864E-3</v>
      </c>
      <c r="V63" s="14">
        <f>_xlfn.NORM.DIST(J62,$Q$2,$Q$3,FALSE)</f>
        <v>1.6154184438282083E-2</v>
      </c>
      <c r="W63" s="14">
        <f>_xlfn.NORM.DIST(K62,$R$2,$R$3,FALSE)</f>
        <v>0.11182704665325215</v>
      </c>
      <c r="X63" s="7">
        <f>_xlfn.NORM.DIST(L62,$S$2,$S$3,FALSE)</f>
        <v>2.7671442324032902E-2</v>
      </c>
      <c r="Z63" s="16">
        <f>_xlfn.NORM.DIST(I62,$P$5,$P$6,FALSE)</f>
        <v>0.30846081511684986</v>
      </c>
      <c r="AA63" s="16">
        <f>_xlfn.NORM.DIST(J62,$Q$5,$Q$6,FALSE)</f>
        <v>2.9287421783201414E-2</v>
      </c>
      <c r="AB63" s="16">
        <f>_xlfn.NORM.DIST(K62,$R$5,$R$6,FALSE)</f>
        <v>7.4539911265096903E-2</v>
      </c>
      <c r="AC63" s="16">
        <f>_xlfn.NORM.DIST(L62,$S$5,$S$6,FALSE)</f>
        <v>2.5318536076263377E-2</v>
      </c>
      <c r="AH63" s="7">
        <f>$AF$2 * U63 * V63 * W63 * X63</f>
        <v>2.3393163111346919E-7</v>
      </c>
      <c r="AI63" s="7">
        <f>$AF$3 * Z63 * AA63 * AB63 * AC63</f>
        <v>8.2089610357408098E-6</v>
      </c>
      <c r="AK63" s="7" t="str">
        <f t="shared" si="2"/>
        <v>ANEMIA</v>
      </c>
    </row>
    <row r="64" spans="1:37" x14ac:dyDescent="0.25">
      <c r="A64" s="10">
        <v>1</v>
      </c>
      <c r="B64" s="10">
        <v>13.3</v>
      </c>
      <c r="C64" s="10">
        <v>28.5</v>
      </c>
      <c r="D64" s="10">
        <v>29</v>
      </c>
      <c r="E64" s="10">
        <v>87.7</v>
      </c>
      <c r="F64" s="10">
        <v>1</v>
      </c>
      <c r="H64" s="10">
        <v>0</v>
      </c>
      <c r="I64" s="10">
        <v>12</v>
      </c>
      <c r="J64" s="10">
        <v>19.399999999999999</v>
      </c>
      <c r="K64" s="10">
        <v>29.6</v>
      </c>
      <c r="L64" s="10">
        <v>71.5</v>
      </c>
      <c r="M64" s="10">
        <v>0</v>
      </c>
      <c r="U64" s="14">
        <f>_xlfn.NORM.DIST(I63,$P$2,$P$3,FALSE)</f>
        <v>0.28671693775724089</v>
      </c>
      <c r="V64" s="14">
        <f>_xlfn.NORM.DIST(J63,$Q$2,$Q$3,FALSE)</f>
        <v>3.9270234854470447E-2</v>
      </c>
      <c r="W64" s="14">
        <f>_xlfn.NORM.DIST(K63,$R$2,$R$3,FALSE)</f>
        <v>0.13021285682780795</v>
      </c>
      <c r="X64" s="7">
        <f>_xlfn.NORM.DIST(L63,$S$2,$S$3,FALSE)</f>
        <v>3.4111797791617271E-2</v>
      </c>
      <c r="Z64" s="16">
        <f>_xlfn.NORM.DIST(I63,$P$5,$P$6,FALSE)</f>
        <v>8.6066196176033914E-3</v>
      </c>
      <c r="AA64" s="16">
        <f>_xlfn.NORM.DIST(J63,$Q$5,$Q$6,FALSE)</f>
        <v>5.6667430737659737E-2</v>
      </c>
      <c r="AB64" s="16">
        <f>_xlfn.NORM.DIST(K63,$R$5,$R$6,FALSE)</f>
        <v>0.16974328118745113</v>
      </c>
      <c r="AC64" s="16">
        <f>_xlfn.NORM.DIST(L63,$S$5,$S$6,FALSE)</f>
        <v>3.2901703780233563E-2</v>
      </c>
      <c r="AH64" s="7">
        <f>$AF$2 * U64 * V64 * W64 * X64</f>
        <v>2.5932213921476628E-5</v>
      </c>
      <c r="AI64" s="7">
        <f>$AF$3 * Z64 * AA64 * AB64 * AC64</f>
        <v>1.3114649877486261E-6</v>
      </c>
      <c r="AK64" s="7" t="str">
        <f t="shared" si="2"/>
        <v>SEHAT</v>
      </c>
    </row>
    <row r="65" spans="1:37" x14ac:dyDescent="0.25">
      <c r="A65" s="10">
        <v>1</v>
      </c>
      <c r="B65" s="10">
        <v>11.1</v>
      </c>
      <c r="C65" s="10">
        <v>28</v>
      </c>
      <c r="D65" s="10">
        <v>30.8</v>
      </c>
      <c r="E65" s="10">
        <v>77.3</v>
      </c>
      <c r="F65" s="10">
        <v>1</v>
      </c>
      <c r="H65" s="10">
        <v>0</v>
      </c>
      <c r="I65" s="10">
        <v>11.7</v>
      </c>
      <c r="J65" s="10">
        <v>19.899999999999999</v>
      </c>
      <c r="K65" s="10">
        <v>28.9</v>
      </c>
      <c r="L65" s="10">
        <v>71.599999999999994</v>
      </c>
      <c r="M65" s="10">
        <v>1</v>
      </c>
      <c r="U65" s="14">
        <f>_xlfn.NORM.DIST(I64,$P$2,$P$3,FALSE)</f>
        <v>4.154996139031876E-2</v>
      </c>
      <c r="V65" s="14">
        <f>_xlfn.NORM.DIST(J64,$Q$2,$Q$3,FALSE)</f>
        <v>6.0147791317023559E-2</v>
      </c>
      <c r="W65" s="14">
        <f>_xlfn.NORM.DIST(K64,$R$2,$R$3,FALSE)</f>
        <v>0.21820908779687426</v>
      </c>
      <c r="X65" s="7">
        <f>_xlfn.NORM.DIST(L64,$S$2,$S$3,FALSE)</f>
        <v>1.4968603009288414E-2</v>
      </c>
      <c r="Z65" s="16">
        <f>_xlfn.NORM.DIST(I64,$P$5,$P$6,FALSE)</f>
        <v>0.43685380213315089</v>
      </c>
      <c r="AA65" s="16">
        <f>_xlfn.NORM.DIST(J64,$Q$5,$Q$6,FALSE)</f>
        <v>7.6053643727297643E-2</v>
      </c>
      <c r="AB65" s="16">
        <f>_xlfn.NORM.DIST(K64,$R$5,$R$6,FALSE)</f>
        <v>0.25264012556895021</v>
      </c>
      <c r="AC65" s="16">
        <f>_xlfn.NORM.DIST(L64,$S$5,$S$6,FALSE)</f>
        <v>1.2195327727447487E-2</v>
      </c>
      <c r="AH65" s="7">
        <f>$AF$2 * U65 * V65 * W65 * X65</f>
        <v>4.2326141987853096E-6</v>
      </c>
      <c r="AI65" s="7">
        <f>$AF$3 * Z65 * AA65 * AB65 * AC65</f>
        <v>4.9286903974479543E-5</v>
      </c>
      <c r="AK65" s="7" t="str">
        <f t="shared" si="2"/>
        <v>SEHAT</v>
      </c>
    </row>
    <row r="66" spans="1:37" x14ac:dyDescent="0.25">
      <c r="A66" s="10">
        <v>1</v>
      </c>
      <c r="B66" s="10">
        <v>12.5</v>
      </c>
      <c r="C66" s="10">
        <v>25.2</v>
      </c>
      <c r="D66" s="10">
        <v>28.3</v>
      </c>
      <c r="E66" s="10">
        <v>73.599999999999994</v>
      </c>
      <c r="F66" s="10">
        <v>1</v>
      </c>
      <c r="H66" s="10">
        <v>1</v>
      </c>
      <c r="I66" s="10">
        <v>12.7</v>
      </c>
      <c r="J66" s="10">
        <v>22.5</v>
      </c>
      <c r="K66" s="10">
        <v>28.3</v>
      </c>
      <c r="L66" s="10">
        <v>93.5</v>
      </c>
      <c r="M66" s="10">
        <v>1</v>
      </c>
      <c r="U66" s="14">
        <f>_xlfn.NORM.DIST(I65,$P$2,$P$3,FALSE)</f>
        <v>2.622146942827483E-2</v>
      </c>
      <c r="V66" s="14">
        <f>_xlfn.NORM.DIST(J65,$Q$2,$Q$3,FALSE)</f>
        <v>6.8654878523782631E-2</v>
      </c>
      <c r="W66" s="14">
        <f>_xlfn.NORM.DIST(K65,$R$2,$R$3,FALSE)</f>
        <v>0.15043441803696656</v>
      </c>
      <c r="X66" s="7">
        <f>_xlfn.NORM.DIST(L65,$S$2,$S$3,FALSE)</f>
        <v>1.5174198521705573E-2</v>
      </c>
      <c r="Z66" s="16">
        <f>_xlfn.NORM.DIST(I65,$P$5,$P$6,FALSE)</f>
        <v>0.43438880291191223</v>
      </c>
      <c r="AA66" s="16">
        <f>_xlfn.NORM.DIST(J65,$Q$5,$Q$6,FALSE)</f>
        <v>8.279194347887231E-2</v>
      </c>
      <c r="AB66" s="16">
        <f>_xlfn.NORM.DIST(K65,$R$5,$R$6,FALSE)</f>
        <v>0.19141553302836742</v>
      </c>
      <c r="AC66" s="16">
        <f>_xlfn.NORM.DIST(L65,$S$5,$S$6,FALSE)</f>
        <v>1.2391378756660396E-2</v>
      </c>
      <c r="AH66" s="7">
        <f>$AF$2 * U66 * V66 * W66 * X66</f>
        <v>2.1308146397831987E-6</v>
      </c>
      <c r="AI66" s="7">
        <f>$AF$3 * Z66 * AA66 * AB66 * AC66</f>
        <v>4.1071739485756714E-5</v>
      </c>
      <c r="AK66" s="7" t="str">
        <f t="shared" si="2"/>
        <v>SEHAT</v>
      </c>
    </row>
    <row r="67" spans="1:37" x14ac:dyDescent="0.25">
      <c r="A67" s="10">
        <v>0</v>
      </c>
      <c r="B67" s="10">
        <v>10.8</v>
      </c>
      <c r="C67" s="10">
        <v>19.7</v>
      </c>
      <c r="D67" s="10">
        <v>29.5</v>
      </c>
      <c r="E67" s="10">
        <v>93</v>
      </c>
      <c r="F67" s="10">
        <v>1</v>
      </c>
      <c r="H67" s="10">
        <v>1</v>
      </c>
      <c r="I67" s="10">
        <v>12.2</v>
      </c>
      <c r="J67" s="10">
        <v>20.100000000000001</v>
      </c>
      <c r="K67" s="10">
        <v>29.8</v>
      </c>
      <c r="L67" s="10">
        <v>72.599999999999994</v>
      </c>
      <c r="M67" s="10">
        <v>1</v>
      </c>
      <c r="U67" s="14">
        <f>_xlfn.NORM.DIST(I66,$P$2,$P$3,FALSE)</f>
        <v>0.1006678742084072</v>
      </c>
      <c r="V67" s="14">
        <f>_xlfn.NORM.DIST(J66,$Q$2,$Q$3,FALSE)</f>
        <v>0.10284240041771389</v>
      </c>
      <c r="W67" s="14">
        <f>_xlfn.NORM.DIST(K66,$R$2,$R$3,FALSE)</f>
        <v>9.2727729977348294E-2</v>
      </c>
      <c r="X67" s="7">
        <f>_xlfn.NORM.DIST(L66,$S$2,$S$3,FALSE)</f>
        <v>2.9041543989470731E-2</v>
      </c>
      <c r="Z67" s="16">
        <f>_xlfn.NORM.DIST(I66,$P$5,$P$6,FALSE)</f>
        <v>0.28821065182704886</v>
      </c>
      <c r="AA67" s="16">
        <f>_xlfn.NORM.DIST(J66,$Q$5,$Q$6,FALSE)</f>
        <v>9.9936081618333714E-2</v>
      </c>
      <c r="AB67" s="16">
        <f>_xlfn.NORM.DIST(K66,$R$5,$R$6,FALSE)</f>
        <v>0.12640327392529141</v>
      </c>
      <c r="AC67" s="16">
        <f>_xlfn.NORM.DIST(L66,$S$5,$S$6,FALSE)</f>
        <v>3.200774123161481E-2</v>
      </c>
      <c r="AH67" s="7">
        <f>$AF$2 * U67 * V67 * W67 * X67</f>
        <v>1.4456285084817034E-5</v>
      </c>
      <c r="AI67" s="7">
        <f>$AF$3 * Z67 * AA67 * AB67 * AC67</f>
        <v>5.6108063900577584E-5</v>
      </c>
      <c r="AK67" s="7" t="str">
        <f t="shared" ref="AK67:AK107" si="5">IF(AH68&gt;AI68, "ANEMIA", "SEHAT")</f>
        <v>SEHAT</v>
      </c>
    </row>
    <row r="68" spans="1:37" x14ac:dyDescent="0.25">
      <c r="A68" s="10">
        <v>1</v>
      </c>
      <c r="B68" s="10">
        <v>10.5</v>
      </c>
      <c r="C68" s="10">
        <v>23</v>
      </c>
      <c r="D68" s="10">
        <v>30.4</v>
      </c>
      <c r="E68" s="10">
        <v>100.1</v>
      </c>
      <c r="F68" s="10">
        <v>1</v>
      </c>
      <c r="H68" s="10">
        <v>1</v>
      </c>
      <c r="I68" s="10">
        <v>15.2</v>
      </c>
      <c r="J68" s="10">
        <v>19.5</v>
      </c>
      <c r="K68" s="10">
        <v>28.3</v>
      </c>
      <c r="L68" s="10">
        <v>74.099999999999994</v>
      </c>
      <c r="M68" s="10">
        <v>0</v>
      </c>
      <c r="U68" s="14">
        <f>_xlfn.NORM.DIST(I67,$P$2,$P$3,FALSE)</f>
        <v>5.4968183720060459E-2</v>
      </c>
      <c r="V68" s="14">
        <f>_xlfn.NORM.DIST(J67,$Q$2,$Q$3,FALSE)</f>
        <v>7.2029649932137882E-2</v>
      </c>
      <c r="W68" s="14">
        <f>_xlfn.NORM.DIST(K67,$R$2,$R$3,FALSE)</f>
        <v>0.23360376985681941</v>
      </c>
      <c r="X68" s="7">
        <f>_xlfn.NORM.DIST(L67,$S$2,$S$3,FALSE)</f>
        <v>1.7299440888430159E-2</v>
      </c>
      <c r="Z68" s="16">
        <f>_xlfn.NORM.DIST(I67,$P$5,$P$6,FALSE)</f>
        <v>0.4124312442686876</v>
      </c>
      <c r="AA68" s="16">
        <f>_xlfn.NORM.DIST(J67,$Q$5,$Q$6,FALSE)</f>
        <v>8.5275638907558945E-2</v>
      </c>
      <c r="AB68" s="16">
        <f>_xlfn.NORM.DIST(K67,$R$5,$R$6,FALSE)</f>
        <v>0.26253623905290069</v>
      </c>
      <c r="AC68" s="16">
        <f>_xlfn.NORM.DIST(L67,$S$5,$S$6,FALSE)</f>
        <v>1.4449707774877111E-2</v>
      </c>
      <c r="AH68" s="7">
        <f>$AF$2 * U68 * V68 * W68 * X68</f>
        <v>8.2965756372330246E-6</v>
      </c>
      <c r="AI68" s="7">
        <f>$AF$3 * Z68 * AA68 * AB68 * AC68</f>
        <v>6.4239840233522441E-5</v>
      </c>
      <c r="AK68" s="7" t="str">
        <f t="shared" si="5"/>
        <v>ANEMIA</v>
      </c>
    </row>
    <row r="69" spans="1:37" x14ac:dyDescent="0.25">
      <c r="A69" s="10">
        <v>1</v>
      </c>
      <c r="B69" s="10">
        <v>11.9</v>
      </c>
      <c r="C69" s="10">
        <v>25.9</v>
      </c>
      <c r="D69" s="10">
        <v>32</v>
      </c>
      <c r="E69" s="10">
        <v>83.2</v>
      </c>
      <c r="F69" s="10">
        <v>1</v>
      </c>
      <c r="H69" s="10">
        <v>0</v>
      </c>
      <c r="I69" s="10">
        <v>12</v>
      </c>
      <c r="J69" s="10">
        <v>21.5</v>
      </c>
      <c r="K69" s="10">
        <v>29.1</v>
      </c>
      <c r="L69" s="10">
        <v>101.1</v>
      </c>
      <c r="M69" s="10">
        <v>0</v>
      </c>
      <c r="U69" s="14">
        <f>_xlfn.NORM.DIST(I68,$P$2,$P$3,FALSE)</f>
        <v>0.27331639771686422</v>
      </c>
      <c r="V69" s="14">
        <f>_xlfn.NORM.DIST(J68,$Q$2,$Q$3,FALSE)</f>
        <v>6.1847433358402405E-2</v>
      </c>
      <c r="W69" s="14">
        <f>_xlfn.NORM.DIST(K68,$R$2,$R$3,FALSE)</f>
        <v>9.2727729977348294E-2</v>
      </c>
      <c r="X69" s="7">
        <f>_xlfn.NORM.DIST(L68,$S$2,$S$3,FALSE)</f>
        <v>2.0678412055929865E-2</v>
      </c>
      <c r="Z69" s="16">
        <f>_xlfn.NORM.DIST(I68,$P$5,$P$6,FALSE)</f>
        <v>4.8393314379734602E-4</v>
      </c>
      <c r="AA69" s="16">
        <f>_xlfn.NORM.DIST(J68,$Q$5,$Q$6,FALSE)</f>
        <v>7.7453213442064184E-2</v>
      </c>
      <c r="AB69" s="16">
        <f>_xlfn.NORM.DIST(K68,$R$5,$R$6,FALSE)</f>
        <v>0.12640327392529141</v>
      </c>
      <c r="AC69" s="16">
        <f>_xlfn.NORM.DIST(L68,$S$5,$S$6,FALSE)</f>
        <v>1.7838981009299763E-2</v>
      </c>
      <c r="AH69" s="7">
        <f>$AF$2 * U69 * V69 * W69 * X69</f>
        <v>1.6806545450899076E-5</v>
      </c>
      <c r="AI69" s="7">
        <f>$AF$3 * Z69 * AA69 * AB69 * AC69</f>
        <v>4.069422312647061E-8</v>
      </c>
      <c r="AK69" s="7" t="str">
        <f t="shared" si="5"/>
        <v>SEHAT</v>
      </c>
    </row>
    <row r="70" spans="1:37" x14ac:dyDescent="0.25">
      <c r="A70" s="10">
        <v>1</v>
      </c>
      <c r="B70" s="10">
        <v>13.2</v>
      </c>
      <c r="C70" s="10">
        <v>17.8</v>
      </c>
      <c r="D70" s="10">
        <v>29.6</v>
      </c>
      <c r="E70" s="10">
        <v>71.2</v>
      </c>
      <c r="F70" s="10">
        <v>1</v>
      </c>
      <c r="H70" s="10">
        <v>1</v>
      </c>
      <c r="I70" s="10">
        <v>11.5</v>
      </c>
      <c r="J70" s="10">
        <v>17.399999999999999</v>
      </c>
      <c r="K70" s="10">
        <v>32.1</v>
      </c>
      <c r="L70" s="10">
        <v>87.3</v>
      </c>
      <c r="M70" s="10">
        <v>1</v>
      </c>
      <c r="U70" s="14">
        <f>_xlfn.NORM.DIST(I69,$P$2,$P$3,FALSE)</f>
        <v>4.154996139031876E-2</v>
      </c>
      <c r="V70" s="14">
        <f>_xlfn.NORM.DIST(J69,$Q$2,$Q$3,FALSE)</f>
        <v>9.3140384759723041E-2</v>
      </c>
      <c r="W70" s="14">
        <f>_xlfn.NORM.DIST(K69,$R$2,$R$3,FALSE)</f>
        <v>0.1708787409988701</v>
      </c>
      <c r="X70" s="7">
        <f>_xlfn.NORM.DIST(L69,$S$2,$S$3,FALSE)</f>
        <v>1.2254023122958771E-2</v>
      </c>
      <c r="Z70" s="16">
        <f>_xlfn.NORM.DIST(I69,$P$5,$P$6,FALSE)</f>
        <v>0.43685380213315089</v>
      </c>
      <c r="AA70" s="16">
        <f>_xlfn.NORM.DIST(J69,$Q$5,$Q$6,FALSE)</f>
        <v>9.7750335220242943E-2</v>
      </c>
      <c r="AB70" s="16">
        <f>_xlfn.NORM.DIST(K69,$R$5,$R$6,FALSE)</f>
        <v>0.21196950901253542</v>
      </c>
      <c r="AC70" s="16">
        <f>_xlfn.NORM.DIST(L69,$S$5,$S$6,FALSE)</f>
        <v>1.362144845232951E-2</v>
      </c>
      <c r="AH70" s="7">
        <f>$AF$2 * U70 * V70 * W70 * X70</f>
        <v>4.2018413904677669E-6</v>
      </c>
      <c r="AI70" s="7">
        <f>$AF$3 * Z70 * AA70 * AB70 * AC70</f>
        <v>5.9365024117748622E-5</v>
      </c>
      <c r="AK70" s="7" t="str">
        <f t="shared" si="5"/>
        <v>SEHAT</v>
      </c>
    </row>
    <row r="71" spans="1:37" x14ac:dyDescent="0.25">
      <c r="A71" s="10">
        <v>0</v>
      </c>
      <c r="B71" s="10">
        <v>11.4</v>
      </c>
      <c r="C71" s="10">
        <v>16.5</v>
      </c>
      <c r="D71" s="10">
        <v>29.8</v>
      </c>
      <c r="E71" s="10">
        <v>100.3</v>
      </c>
      <c r="F71" s="10">
        <v>1</v>
      </c>
      <c r="H71" s="10">
        <v>1</v>
      </c>
      <c r="I71" s="10">
        <v>15.1</v>
      </c>
      <c r="J71" s="10">
        <v>24.3</v>
      </c>
      <c r="K71" s="10">
        <v>31.4</v>
      </c>
      <c r="L71" s="10">
        <v>76.099999999999994</v>
      </c>
      <c r="M71" s="10">
        <v>0</v>
      </c>
      <c r="U71" s="14">
        <f>_xlfn.NORM.DIST(I70,$P$2,$P$3,FALSE)</f>
        <v>1.8777869764729026E-2</v>
      </c>
      <c r="V71" s="14">
        <f>_xlfn.NORM.DIST(J70,$Q$2,$Q$3,FALSE)</f>
        <v>2.9713659968900418E-2</v>
      </c>
      <c r="W71" s="14">
        <f>_xlfn.NORM.DIST(K70,$R$2,$R$3,FALSE)</f>
        <v>0.15152988348792451</v>
      </c>
      <c r="X71" s="7">
        <f>_xlfn.NORM.DIST(L70,$S$2,$S$3,FALSE)</f>
        <v>3.8760024552879475E-2</v>
      </c>
      <c r="Z71" s="16">
        <f>_xlfn.NORM.DIST(I70,$P$5,$P$6,FALSE)</f>
        <v>0.40702154337313734</v>
      </c>
      <c r="AA71" s="16">
        <f>_xlfn.NORM.DIST(J70,$Q$5,$Q$6,FALSE)</f>
        <v>4.6283079123973309E-2</v>
      </c>
      <c r="AB71" s="16">
        <f>_xlfn.NORM.DIST(K70,$R$5,$R$6,FALSE)</f>
        <v>0.1106910637463223</v>
      </c>
      <c r="AC71" s="16">
        <f>_xlfn.NORM.DIST(L70,$S$5,$S$6,FALSE)</f>
        <v>4.0903736079345353E-2</v>
      </c>
      <c r="AH71" s="7">
        <f>$AF$2 * U71 * V71 * W71 * X71</f>
        <v>1.6992179067393271E-6</v>
      </c>
      <c r="AI71" s="7">
        <f>$AF$3 * Z71 * AA71 * AB71 * AC71</f>
        <v>4.1067169197797793E-5</v>
      </c>
      <c r="AK71" s="7" t="str">
        <f t="shared" si="5"/>
        <v>ANEMIA</v>
      </c>
    </row>
    <row r="72" spans="1:37" x14ac:dyDescent="0.25">
      <c r="A72" s="10">
        <v>1</v>
      </c>
      <c r="B72" s="10">
        <v>10.9</v>
      </c>
      <c r="C72" s="10">
        <v>27.1</v>
      </c>
      <c r="D72" s="10">
        <v>30</v>
      </c>
      <c r="E72" s="10">
        <v>93.2</v>
      </c>
      <c r="F72" s="10">
        <v>1</v>
      </c>
      <c r="H72" s="10">
        <v>0</v>
      </c>
      <c r="I72" s="10">
        <v>11.5</v>
      </c>
      <c r="J72" s="10">
        <v>18.899999999999999</v>
      </c>
      <c r="K72" s="10">
        <v>31.2</v>
      </c>
      <c r="L72" s="10">
        <v>81.3</v>
      </c>
      <c r="M72" s="10">
        <v>1</v>
      </c>
      <c r="U72" s="14">
        <f>_xlfn.NORM.DIST(I71,$P$2,$P$3,FALSE)</f>
        <v>0.28020677063569788</v>
      </c>
      <c r="V72" s="14">
        <f>_xlfn.NORM.DIST(J71,$Q$2,$Q$3,FALSE)</f>
        <v>0.10293555501524636</v>
      </c>
      <c r="W72" s="14">
        <f>_xlfn.NORM.DIST(K71,$R$2,$R$3,FALSE)</f>
        <v>0.21910148229849283</v>
      </c>
      <c r="X72" s="7">
        <f>_xlfn.NORM.DIST(L71,$S$2,$S$3,FALSE)</f>
        <v>2.5355717681490534E-2</v>
      </c>
      <c r="Z72" s="16">
        <f>_xlfn.NORM.DIST(I71,$P$5,$P$6,FALSE)</f>
        <v>7.2389786852900125E-4</v>
      </c>
      <c r="AA72" s="16">
        <f>_xlfn.NORM.DIST(J71,$Q$5,$Q$6,FALSE)</f>
        <v>8.8764282744800402E-2</v>
      </c>
      <c r="AB72" s="16">
        <f>_xlfn.NORM.DIST(K71,$R$5,$R$6,FALSE)</f>
        <v>0.1856536457293162</v>
      </c>
      <c r="AC72" s="16">
        <f>_xlfn.NORM.DIST(L71,$S$5,$S$6,FALSE)</f>
        <v>2.2768518110828091E-2</v>
      </c>
      <c r="AH72" s="7">
        <f>$AF$2 * U72 * V72 * W72 * X72</f>
        <v>8.3086321209850531E-5</v>
      </c>
      <c r="AI72" s="7">
        <f>$AF$3 * Z72 * AA72 * AB72 * AC72</f>
        <v>1.3077760560155656E-7</v>
      </c>
      <c r="AK72" s="7" t="str">
        <f t="shared" si="5"/>
        <v>SEHAT</v>
      </c>
    </row>
    <row r="73" spans="1:37" x14ac:dyDescent="0.25">
      <c r="A73" s="10">
        <v>1</v>
      </c>
      <c r="B73" s="10">
        <v>12.5</v>
      </c>
      <c r="C73" s="10">
        <v>19.399999999999999</v>
      </c>
      <c r="D73" s="10">
        <v>29.2</v>
      </c>
      <c r="E73" s="10">
        <v>97.4</v>
      </c>
      <c r="F73" s="10">
        <v>1</v>
      </c>
      <c r="H73" s="10">
        <v>0</v>
      </c>
      <c r="I73" s="10">
        <v>12.8</v>
      </c>
      <c r="J73" s="10">
        <v>29.2</v>
      </c>
      <c r="K73" s="10">
        <v>32.1</v>
      </c>
      <c r="L73" s="10">
        <v>89.8</v>
      </c>
      <c r="M73" s="10">
        <v>0</v>
      </c>
      <c r="U73" s="14">
        <f>_xlfn.NORM.DIST(I72,$P$2,$P$3,FALSE)</f>
        <v>1.8777869764729026E-2</v>
      </c>
      <c r="V73" s="14">
        <f>_xlfn.NORM.DIST(J72,$Q$2,$Q$3,FALSE)</f>
        <v>5.177526131376671E-2</v>
      </c>
      <c r="W73" s="14">
        <f>_xlfn.NORM.DIST(K72,$R$2,$R$3,FALSE)</f>
        <v>0.23434648515271703</v>
      </c>
      <c r="X73" s="7">
        <f>_xlfn.NORM.DIST(L72,$S$2,$S$3,FALSE)</f>
        <v>3.5926230569718172E-2</v>
      </c>
      <c r="Z73" s="16">
        <f>_xlfn.NORM.DIST(I72,$P$5,$P$6,FALSE)</f>
        <v>0.40702154337313734</v>
      </c>
      <c r="AA73" s="16">
        <f>_xlfn.NORM.DIST(J72,$Q$5,$Q$6,FALSE)</f>
        <v>6.8774812778799349E-2</v>
      </c>
      <c r="AB73" s="16">
        <f>_xlfn.NORM.DIST(K72,$R$5,$R$6,FALSE)</f>
        <v>0.20659675222711554</v>
      </c>
      <c r="AC73" s="16">
        <f>_xlfn.NORM.DIST(L72,$S$5,$S$6,FALSE)</f>
        <v>3.523699944285677E-2</v>
      </c>
      <c r="AH73" s="7">
        <f>$AF$2 * U73 * V73 * W73 * X73</f>
        <v>4.2442698708010242E-6</v>
      </c>
      <c r="AI73" s="7">
        <f>$AF$3 * Z73 * AA73 * AB73 * AC73</f>
        <v>9.8118028043769575E-5</v>
      </c>
      <c r="AK73" s="7" t="str">
        <f t="shared" si="5"/>
        <v>SEHAT</v>
      </c>
    </row>
    <row r="74" spans="1:37" x14ac:dyDescent="0.25">
      <c r="A74" s="10">
        <v>0</v>
      </c>
      <c r="B74" s="10">
        <v>11.2</v>
      </c>
      <c r="C74" s="10">
        <v>23.1</v>
      </c>
      <c r="D74" s="10">
        <v>30.3</v>
      </c>
      <c r="E74" s="10">
        <v>75.2</v>
      </c>
      <c r="F74" s="10">
        <v>1</v>
      </c>
      <c r="H74" s="10">
        <v>1</v>
      </c>
      <c r="I74" s="10">
        <v>15.1</v>
      </c>
      <c r="J74" s="10">
        <v>21.6</v>
      </c>
      <c r="K74" s="10">
        <v>28.4</v>
      </c>
      <c r="L74" s="10">
        <v>100</v>
      </c>
      <c r="M74" s="10">
        <v>0</v>
      </c>
      <c r="U74" s="14">
        <f>_xlfn.NORM.DIST(I73,$P$2,$P$3,FALSE)</f>
        <v>0.11179073660646385</v>
      </c>
      <c r="V74" s="14">
        <f>_xlfn.NORM.DIST(J73,$Q$2,$Q$3,FALSE)</f>
        <v>3.248040040061425E-2</v>
      </c>
      <c r="W74" s="14">
        <f>_xlfn.NORM.DIST(K73,$R$2,$R$3,FALSE)</f>
        <v>0.15152988348792451</v>
      </c>
      <c r="X74" s="7">
        <f>_xlfn.NORM.DIST(L73,$S$2,$S$3,FALSE)</f>
        <v>3.6085379606573868E-2</v>
      </c>
      <c r="Z74" s="16">
        <f>_xlfn.NORM.DIST(I73,$P$5,$P$6,FALSE)</f>
        <v>0.25858777268703714</v>
      </c>
      <c r="AA74" s="16">
        <f>_xlfn.NORM.DIST(J73,$Q$5,$Q$6,FALSE)</f>
        <v>2.2914903913052138E-2</v>
      </c>
      <c r="AB74" s="16">
        <f>_xlfn.NORM.DIST(K73,$R$5,$R$6,FALSE)</f>
        <v>0.1106910637463223</v>
      </c>
      <c r="AC74" s="16">
        <f>_xlfn.NORM.DIST(L73,$S$5,$S$6,FALSE)</f>
        <v>3.8906757799256619E-2</v>
      </c>
      <c r="AH74" s="7">
        <f>$AF$2 * U74 * V74 * W74 * X74</f>
        <v>1.0294873896794432E-5</v>
      </c>
      <c r="AI74" s="7">
        <f>$AF$3 * Z74 * AA74 * AB74 * AC74</f>
        <v>1.2286925261314541E-5</v>
      </c>
      <c r="AK74" s="7" t="str">
        <f t="shared" si="5"/>
        <v>ANEMIA</v>
      </c>
    </row>
    <row r="75" spans="1:37" x14ac:dyDescent="0.25">
      <c r="A75" s="10">
        <v>0</v>
      </c>
      <c r="B75" s="10">
        <v>10.7</v>
      </c>
      <c r="C75" s="10">
        <v>22.8</v>
      </c>
      <c r="D75" s="10">
        <v>30.5</v>
      </c>
      <c r="E75" s="10">
        <v>81.3</v>
      </c>
      <c r="F75" s="10">
        <v>1</v>
      </c>
      <c r="H75" s="10">
        <v>1</v>
      </c>
      <c r="I75" s="10">
        <v>11.5</v>
      </c>
      <c r="J75" s="10">
        <v>19.2</v>
      </c>
      <c r="K75" s="10">
        <v>30.8</v>
      </c>
      <c r="L75" s="10">
        <v>78.2</v>
      </c>
      <c r="M75" s="10">
        <v>1</v>
      </c>
      <c r="U75" s="14">
        <f>_xlfn.NORM.DIST(I74,$P$2,$P$3,FALSE)</f>
        <v>0.28020677063569788</v>
      </c>
      <c r="V75" s="14">
        <f>_xlfn.NORM.DIST(J74,$Q$2,$Q$3,FALSE)</f>
        <v>9.4366460376283462E-2</v>
      </c>
      <c r="W75" s="14">
        <f>_xlfn.NORM.DIST(K74,$R$2,$R$3,FALSE)</f>
        <v>0.10158460169025117</v>
      </c>
      <c r="X75" s="7">
        <f>_xlfn.NORM.DIST(L74,$S$2,$S$3,FALSE)</f>
        <v>1.4374358345638539E-2</v>
      </c>
      <c r="Z75" s="16">
        <f>_xlfn.NORM.DIST(I74,$P$5,$P$6,FALSE)</f>
        <v>7.2389786852900125E-4</v>
      </c>
      <c r="AA75" s="16">
        <f>_xlfn.NORM.DIST(J74,$Q$5,$Q$6,FALSE)</f>
        <v>9.8244155076949863E-2</v>
      </c>
      <c r="AB75" s="16">
        <f>_xlfn.NORM.DIST(K74,$R$5,$R$6,FALSE)</f>
        <v>0.13700140718322579</v>
      </c>
      <c r="AC75" s="16">
        <f>_xlfn.NORM.DIST(L74,$S$5,$S$6,FALSE)</f>
        <v>1.6007337293740872E-2</v>
      </c>
      <c r="AH75" s="7">
        <f>$AF$2 * U75 * V75 * W75 * X75</f>
        <v>2.0020591814002608E-5</v>
      </c>
      <c r="AI75" s="7">
        <f>$AF$3 * Z75 * AA75 * AB75 * AC75</f>
        <v>7.5094431198069535E-8</v>
      </c>
      <c r="AK75" s="7" t="str">
        <f t="shared" si="5"/>
        <v>SEHAT</v>
      </c>
    </row>
    <row r="76" spans="1:37" x14ac:dyDescent="0.25">
      <c r="A76" s="10">
        <v>1</v>
      </c>
      <c r="B76" s="10">
        <v>11.8</v>
      </c>
      <c r="C76" s="10">
        <v>28.5</v>
      </c>
      <c r="D76" s="10">
        <v>31.8</v>
      </c>
      <c r="E76" s="10">
        <v>89.7</v>
      </c>
      <c r="F76" s="10">
        <v>1</v>
      </c>
      <c r="H76" s="10">
        <v>1</v>
      </c>
      <c r="I76" s="10">
        <v>15</v>
      </c>
      <c r="J76" s="10">
        <v>19.899999999999999</v>
      </c>
      <c r="K76" s="10">
        <v>30.1</v>
      </c>
      <c r="L76" s="10">
        <v>76.5</v>
      </c>
      <c r="M76" s="10">
        <v>0</v>
      </c>
      <c r="U76" s="14">
        <f>_xlfn.NORM.DIST(I75,$P$2,$P$3,FALSE)</f>
        <v>1.8777869764729026E-2</v>
      </c>
      <c r="V76" s="14">
        <f>_xlfn.NORM.DIST(J75,$Q$2,$Q$3,FALSE)</f>
        <v>5.6767296305142136E-2</v>
      </c>
      <c r="W76" s="14">
        <f>_xlfn.NORM.DIST(K75,$R$2,$R$3,FALSE)</f>
        <v>0.25481626624612269</v>
      </c>
      <c r="X76" s="7">
        <f>_xlfn.NORM.DIST(L75,$S$2,$S$3,FALSE)</f>
        <v>3.0124108340276085E-2</v>
      </c>
      <c r="Z76" s="16">
        <f>_xlfn.NORM.DIST(I75,$P$5,$P$6,FALSE)</f>
        <v>0.40702154337313734</v>
      </c>
      <c r="AA76" s="16">
        <f>_xlfn.NORM.DIST(J75,$Q$5,$Q$6,FALSE)</f>
        <v>7.3191810335592009E-2</v>
      </c>
      <c r="AB76" s="16">
        <f>_xlfn.NORM.DIST(K75,$R$5,$R$6,FALSE)</f>
        <v>0.24226931078923061</v>
      </c>
      <c r="AC76" s="16">
        <f>_xlfn.NORM.DIST(L75,$S$5,$S$6,FALSE)</f>
        <v>2.8109707519875279E-2</v>
      </c>
      <c r="AH76" s="7">
        <f>$AF$2 * U76 * V76 * W76 * X76</f>
        <v>4.2427764845963723E-6</v>
      </c>
      <c r="AI76" s="7">
        <f>$AF$3 * Z76 * AA76 * AB76 * AC76</f>
        <v>9.7681923906216861E-5</v>
      </c>
      <c r="AK76" s="7" t="str">
        <f t="shared" si="5"/>
        <v>ANEMIA</v>
      </c>
    </row>
    <row r="77" spans="1:37" x14ac:dyDescent="0.25">
      <c r="A77" s="10">
        <v>1</v>
      </c>
      <c r="B77" s="10">
        <v>10.8</v>
      </c>
      <c r="C77" s="10">
        <v>28</v>
      </c>
      <c r="D77" s="10">
        <v>28.8</v>
      </c>
      <c r="E77" s="10">
        <v>90.6</v>
      </c>
      <c r="F77" s="10">
        <v>1</v>
      </c>
      <c r="H77" s="10">
        <v>0</v>
      </c>
      <c r="I77" s="10">
        <v>13.2</v>
      </c>
      <c r="J77" s="10">
        <v>17</v>
      </c>
      <c r="K77" s="10">
        <v>29.4</v>
      </c>
      <c r="L77" s="10">
        <v>101.5</v>
      </c>
      <c r="M77" s="10">
        <v>0</v>
      </c>
      <c r="U77" s="14">
        <f>_xlfn.NORM.DIST(I76,$P$2,$P$3,FALSE)</f>
        <v>0.28572258306996473</v>
      </c>
      <c r="V77" s="14">
        <f>_xlfn.NORM.DIST(J76,$Q$2,$Q$3,FALSE)</f>
        <v>6.8654878523782631E-2</v>
      </c>
      <c r="W77" s="14">
        <f>_xlfn.NORM.DIST(K76,$R$2,$R$3,FALSE)</f>
        <v>0.25067117473312989</v>
      </c>
      <c r="X77" s="7">
        <f>_xlfn.NORM.DIST(L76,$S$2,$S$3,FALSE)</f>
        <v>2.6288399190831216E-2</v>
      </c>
      <c r="Z77" s="16">
        <f>_xlfn.NORM.DIST(I76,$P$5,$P$6,FALSE)</f>
        <v>1.0696572763856246E-3</v>
      </c>
      <c r="AA77" s="16">
        <f>_xlfn.NORM.DIST(J76,$Q$5,$Q$6,FALSE)</f>
        <v>8.279194347887231E-2</v>
      </c>
      <c r="AB77" s="16">
        <f>_xlfn.NORM.DIST(K76,$R$5,$R$6,FALSE)</f>
        <v>0.26879981602305059</v>
      </c>
      <c r="AC77" s="16">
        <f>_xlfn.NORM.DIST(L76,$S$5,$S$6,FALSE)</f>
        <v>2.3786282830737467E-2</v>
      </c>
      <c r="AH77" s="7">
        <f>$AF$2 * U77 * V77 * W77 * X77</f>
        <v>6.7026845332875346E-5</v>
      </c>
      <c r="AI77" s="7">
        <f>$AF$3 * Z77 * AA77 * AB77 * AC77</f>
        <v>2.7262637006329193E-7</v>
      </c>
      <c r="AK77" s="7" t="str">
        <f t="shared" si="5"/>
        <v>SEHAT</v>
      </c>
    </row>
    <row r="78" spans="1:37" x14ac:dyDescent="0.25">
      <c r="A78" s="10">
        <v>1</v>
      </c>
      <c r="B78" s="10">
        <v>11.4</v>
      </c>
      <c r="C78" s="10">
        <v>29.3</v>
      </c>
      <c r="D78" s="10">
        <v>28.7</v>
      </c>
      <c r="E78" s="10">
        <v>95.8</v>
      </c>
      <c r="F78" s="10">
        <v>1</v>
      </c>
      <c r="H78" s="10">
        <v>1</v>
      </c>
      <c r="I78" s="10">
        <v>13.1</v>
      </c>
      <c r="J78" s="10">
        <v>21.3</v>
      </c>
      <c r="K78" s="10">
        <v>32.4</v>
      </c>
      <c r="L78" s="10">
        <v>100.6</v>
      </c>
      <c r="M78" s="10">
        <v>1</v>
      </c>
      <c r="U78" s="14">
        <f>_xlfn.NORM.DIST(I77,$P$2,$P$3,FALSE)</f>
        <v>0.16106291598809838</v>
      </c>
      <c r="V78" s="14">
        <f>_xlfn.NORM.DIST(J77,$Q$2,$Q$3,FALSE)</f>
        <v>2.4947312281561992E-2</v>
      </c>
      <c r="W78" s="14">
        <f>_xlfn.NORM.DIST(K77,$R$2,$R$3,FALSE)</f>
        <v>0.2004071919090199</v>
      </c>
      <c r="X78" s="7">
        <f>_xlfn.NORM.DIST(L77,$S$2,$S$3,FALSE)</f>
        <v>1.1529499309551614E-2</v>
      </c>
      <c r="Z78" s="16">
        <f>_xlfn.NORM.DIST(I77,$P$5,$P$6,FALSE)</f>
        <v>0.14823611683596097</v>
      </c>
      <c r="AA78" s="16">
        <f>_xlfn.NORM.DIST(J77,$Q$5,$Q$6,FALSE)</f>
        <v>4.0661498257740826E-2</v>
      </c>
      <c r="AB78" s="16">
        <f>_xlfn.NORM.DIST(K77,$R$5,$R$6,FALSE)</f>
        <v>0.23874101184268501</v>
      </c>
      <c r="AC78" s="16">
        <f>_xlfn.NORM.DIST(L77,$S$5,$S$6,FALSE)</f>
        <v>1.2804369567284531E-2</v>
      </c>
      <c r="AH78" s="7">
        <f>$AF$2 * U78 * V78 * W78 * X78</f>
        <v>4.8140139333515437E-6</v>
      </c>
      <c r="AI78" s="7">
        <f>$AF$3 * Z78 * AA78 * AB78 * AC78</f>
        <v>8.871605585938782E-6</v>
      </c>
      <c r="AK78" s="7" t="str">
        <f t="shared" si="5"/>
        <v>ANEMIA</v>
      </c>
    </row>
    <row r="79" spans="1:37" x14ac:dyDescent="0.25">
      <c r="A79" s="10">
        <v>1</v>
      </c>
      <c r="B79" s="10">
        <v>10.8</v>
      </c>
      <c r="C79" s="10">
        <v>17.5</v>
      </c>
      <c r="D79" s="10">
        <v>29.3</v>
      </c>
      <c r="E79" s="10">
        <v>95.8</v>
      </c>
      <c r="F79" s="10">
        <v>1</v>
      </c>
      <c r="H79" s="10">
        <v>0</v>
      </c>
      <c r="I79" s="10">
        <v>16.600000000000001</v>
      </c>
      <c r="J79" s="10">
        <v>28.4</v>
      </c>
      <c r="K79" s="10">
        <v>31</v>
      </c>
      <c r="L79" s="10">
        <v>75.599999999999994</v>
      </c>
      <c r="M79" s="10">
        <v>0</v>
      </c>
      <c r="U79" s="14">
        <f>_xlfn.NORM.DIST(I78,$P$2,$P$3,FALSE)</f>
        <v>0.14820696494971941</v>
      </c>
      <c r="V79" s="14">
        <f>_xlfn.NORM.DIST(J78,$Q$2,$Q$3,FALSE)</f>
        <v>9.0544332732301669E-2</v>
      </c>
      <c r="W79" s="14">
        <f>_xlfn.NORM.DIST(K78,$R$2,$R$3,FALSE)</f>
        <v>0.12142046954026794</v>
      </c>
      <c r="X79" s="7">
        <f>_xlfn.NORM.DIST(L78,$S$2,$S$3,FALSE)</f>
        <v>1.3195185029398853E-2</v>
      </c>
      <c r="Z79" s="16">
        <f>_xlfn.NORM.DIST(I78,$P$5,$P$6,FALSE)</f>
        <v>0.17352193688442297</v>
      </c>
      <c r="AA79" s="16">
        <f>_xlfn.NORM.DIST(J78,$Q$5,$Q$6,FALSE)</f>
        <v>9.6587875894709282E-2</v>
      </c>
      <c r="AB79" s="16">
        <f>_xlfn.NORM.DIST(K78,$R$5,$R$6,FALSE)</f>
        <v>8.2847218410093668E-2</v>
      </c>
      <c r="AC79" s="16">
        <f>_xlfn.NORM.DIST(L78,$S$5,$S$6,FALSE)</f>
        <v>1.4681582649095205E-2</v>
      </c>
      <c r="AH79" s="7">
        <f>$AF$2 * U79 * V79 * W79 * X79</f>
        <v>1.1148117826848597E-5</v>
      </c>
      <c r="AI79" s="7">
        <f>$AF$3 * Z79 * AA79 * AB79 * AC79</f>
        <v>9.8153862896816047E-6</v>
      </c>
      <c r="AK79" s="7" t="str">
        <f t="shared" si="5"/>
        <v>ANEMIA</v>
      </c>
    </row>
    <row r="80" spans="1:37" x14ac:dyDescent="0.25">
      <c r="A80" s="10">
        <v>0</v>
      </c>
      <c r="B80" s="10">
        <v>10.6</v>
      </c>
      <c r="C80" s="10">
        <v>28</v>
      </c>
      <c r="D80" s="10">
        <v>30.7</v>
      </c>
      <c r="E80" s="10">
        <v>90.9</v>
      </c>
      <c r="F80" s="10">
        <v>1</v>
      </c>
      <c r="H80" s="10">
        <v>0</v>
      </c>
      <c r="I80" s="10">
        <v>13.6</v>
      </c>
      <c r="J80" s="10">
        <v>29.8</v>
      </c>
      <c r="K80" s="10">
        <v>32.4</v>
      </c>
      <c r="L80" s="10">
        <v>76.599999999999994</v>
      </c>
      <c r="M80" s="10">
        <v>0</v>
      </c>
      <c r="U80" s="14">
        <f>_xlfn.NORM.DIST(I79,$P$2,$P$3,FALSE)</f>
        <v>0.10935790940328584</v>
      </c>
      <c r="V80" s="14">
        <f>_xlfn.NORM.DIST(J79,$Q$2,$Q$3,FALSE)</f>
        <v>4.4011252149765312E-2</v>
      </c>
      <c r="W80" s="14">
        <f>_xlfn.NORM.DIST(K79,$R$2,$R$3,FALSE)</f>
        <v>0.24644445719030936</v>
      </c>
      <c r="X80" s="7">
        <f>_xlfn.NORM.DIST(L79,$S$2,$S$3,FALSE)</f>
        <v>2.4183385284500938E-2</v>
      </c>
      <c r="Z80" s="16">
        <f>_xlfn.NORM.DIST(I79,$P$5,$P$6,FALSE)</f>
        <v>4.7557342322713701E-7</v>
      </c>
      <c r="AA80" s="16">
        <f>_xlfn.NORM.DIST(J79,$Q$5,$Q$6,FALSE)</f>
        <v>3.168791350473573E-2</v>
      </c>
      <c r="AB80" s="16">
        <f>_xlfn.NORM.DIST(K79,$R$5,$R$6,FALSE)</f>
        <v>0.22576422844050315</v>
      </c>
      <c r="AC80" s="16">
        <f>_xlfn.NORM.DIST(L79,$S$5,$S$6,FALSE)</f>
        <v>2.1506177147569173E-2</v>
      </c>
      <c r="AH80" s="7">
        <f>$AF$2 * U80 * V80 * W80 * X80</f>
        <v>1.4873539984425129E-5</v>
      </c>
      <c r="AI80" s="7">
        <f>$AF$3 * Z80 * AA80 * AB80 * AC80</f>
        <v>3.5229717294333767E-11</v>
      </c>
      <c r="AK80" s="7" t="str">
        <f t="shared" si="5"/>
        <v>ANEMIA</v>
      </c>
    </row>
    <row r="81" spans="1:37" x14ac:dyDescent="0.25">
      <c r="A81" s="10">
        <v>1</v>
      </c>
      <c r="B81" s="10">
        <v>12.6</v>
      </c>
      <c r="C81" s="10">
        <v>19.100000000000001</v>
      </c>
      <c r="D81" s="10">
        <v>31.5</v>
      </c>
      <c r="E81" s="10">
        <v>85.9</v>
      </c>
      <c r="F81" s="10">
        <v>1</v>
      </c>
      <c r="H81" s="10">
        <v>1</v>
      </c>
      <c r="I81" s="10">
        <v>13.7</v>
      </c>
      <c r="J81" s="10">
        <v>26</v>
      </c>
      <c r="K81" s="10">
        <v>31.4</v>
      </c>
      <c r="L81" s="10">
        <v>82.8</v>
      </c>
      <c r="M81" s="10">
        <v>0</v>
      </c>
      <c r="U81" s="14">
        <f>_xlfn.NORM.DIST(I80,$P$2,$P$3,FALSE)</f>
        <v>0.2128302684397759</v>
      </c>
      <c r="V81" s="14">
        <f>_xlfn.NORM.DIST(J80,$Q$2,$Q$3,FALSE)</f>
        <v>2.5108449370686219E-2</v>
      </c>
      <c r="W81" s="14">
        <f>_xlfn.NORM.DIST(K80,$R$2,$R$3,FALSE)</f>
        <v>0.12142046954026794</v>
      </c>
      <c r="X81" s="7">
        <f>_xlfn.NORM.DIST(L80,$S$2,$S$3,FALSE)</f>
        <v>2.6520445062644837E-2</v>
      </c>
      <c r="Z81" s="16">
        <f>_xlfn.NORM.DIST(I80,$P$5,$P$6,FALSE)</f>
        <v>6.9840415614699683E-2</v>
      </c>
      <c r="AA81" s="16">
        <f>_xlfn.NORM.DIST(J80,$Q$5,$Q$6,FALSE)</f>
        <v>1.750146650558829E-2</v>
      </c>
      <c r="AB81" s="16">
        <f>_xlfn.NORM.DIST(K80,$R$5,$R$6,FALSE)</f>
        <v>8.2847218410093668E-2</v>
      </c>
      <c r="AC81" s="16">
        <f>_xlfn.NORM.DIST(L80,$S$5,$S$6,FALSE)</f>
        <v>2.4041407488732132E-2</v>
      </c>
      <c r="AH81" s="7">
        <f>$AF$2 * U81 * V81 * W81 * X81</f>
        <v>8.9225763539857626E-6</v>
      </c>
      <c r="AI81" s="7">
        <f>$AF$3 * Z81 * AA81 * AB81 * AC81</f>
        <v>1.1721917640093338E-6</v>
      </c>
      <c r="AK81" s="7" t="str">
        <f t="shared" si="5"/>
        <v>ANEMIA</v>
      </c>
    </row>
    <row r="82" spans="1:37" x14ac:dyDescent="0.25">
      <c r="A82" s="10">
        <v>1</v>
      </c>
      <c r="B82" s="10">
        <v>13.4</v>
      </c>
      <c r="C82" s="10">
        <v>17.8</v>
      </c>
      <c r="D82" s="10">
        <v>32.299999999999997</v>
      </c>
      <c r="E82" s="10">
        <v>101.3</v>
      </c>
      <c r="F82" s="10">
        <v>1</v>
      </c>
      <c r="H82" s="10">
        <v>1</v>
      </c>
      <c r="I82" s="10">
        <v>12.8</v>
      </c>
      <c r="J82" s="10">
        <v>19.5</v>
      </c>
      <c r="K82" s="10">
        <v>32.200000000000003</v>
      </c>
      <c r="L82" s="10">
        <v>72.099999999999994</v>
      </c>
      <c r="M82" s="10">
        <v>1</v>
      </c>
      <c r="U82" s="14">
        <f>_xlfn.NORM.DIST(I81,$P$2,$P$3,FALSE)</f>
        <v>0.22512585048774555</v>
      </c>
      <c r="V82" s="14">
        <f>_xlfn.NORM.DIST(J81,$Q$2,$Q$3,FALSE)</f>
        <v>8.3551325869499107E-2</v>
      </c>
      <c r="W82" s="14">
        <f>_xlfn.NORM.DIST(K81,$R$2,$R$3,FALSE)</f>
        <v>0.21910148229849283</v>
      </c>
      <c r="X82" s="7">
        <f>_xlfn.NORM.DIST(L81,$S$2,$S$3,FALSE)</f>
        <v>3.7834026429830116E-2</v>
      </c>
      <c r="Z82" s="16">
        <f>_xlfn.NORM.DIST(I81,$P$5,$P$6,FALSE)</f>
        <v>5.6115594049261371E-2</v>
      </c>
      <c r="AA82" s="16">
        <f>_xlfn.NORM.DIST(J81,$Q$5,$Q$6,FALSE)</f>
        <v>6.5830320560856581E-2</v>
      </c>
      <c r="AB82" s="16">
        <f>_xlfn.NORM.DIST(K81,$R$5,$R$6,FALSE)</f>
        <v>0.1856536457293162</v>
      </c>
      <c r="AC82" s="16">
        <f>_xlfn.NORM.DIST(L81,$S$5,$S$6,FALSE)</f>
        <v>3.790239376076452E-2</v>
      </c>
      <c r="AH82" s="7">
        <f>$AF$2 * U82 * V82 * W82 * X82</f>
        <v>8.0848294474400142E-5</v>
      </c>
      <c r="AI82" s="7">
        <f>$AF$3 * Z82 * AA82 * AB82 * AC82</f>
        <v>1.2515818137098085E-5</v>
      </c>
      <c r="AK82" s="7" t="str">
        <f t="shared" si="5"/>
        <v>SEHAT</v>
      </c>
    </row>
    <row r="83" spans="1:37" x14ac:dyDescent="0.25">
      <c r="A83" s="10">
        <v>1</v>
      </c>
      <c r="B83" s="10">
        <v>13.3</v>
      </c>
      <c r="C83" s="10">
        <v>25.4</v>
      </c>
      <c r="D83" s="10">
        <v>30.8</v>
      </c>
      <c r="E83" s="10">
        <v>82.9</v>
      </c>
      <c r="F83" s="10">
        <v>1</v>
      </c>
      <c r="H83" s="10">
        <v>0</v>
      </c>
      <c r="I83" s="10">
        <v>14.3</v>
      </c>
      <c r="J83" s="10">
        <v>19.2</v>
      </c>
      <c r="K83" s="10">
        <v>30.9</v>
      </c>
      <c r="L83" s="10">
        <v>94.8</v>
      </c>
      <c r="M83" s="10">
        <v>0</v>
      </c>
      <c r="U83" s="14">
        <f>_xlfn.NORM.DIST(I82,$P$2,$P$3,FALSE)</f>
        <v>0.11179073660646385</v>
      </c>
      <c r="V83" s="14">
        <f>_xlfn.NORM.DIST(J82,$Q$2,$Q$3,FALSE)</f>
        <v>6.1847433358402405E-2</v>
      </c>
      <c r="W83" s="14">
        <f>_xlfn.NORM.DIST(K82,$R$2,$R$3,FALSE)</f>
        <v>0.14134082598061617</v>
      </c>
      <c r="X83" s="7">
        <f>_xlfn.NORM.DIST(L82,$S$2,$S$3,FALSE)</f>
        <v>1.6221681509107837E-2</v>
      </c>
      <c r="Z83" s="16">
        <f>_xlfn.NORM.DIST(I82,$P$5,$P$6,FALSE)</f>
        <v>0.25858777268703714</v>
      </c>
      <c r="AA83" s="16">
        <f>_xlfn.NORM.DIST(J82,$Q$5,$Q$6,FALSE)</f>
        <v>7.7453213442064184E-2</v>
      </c>
      <c r="AB83" s="16">
        <f>_xlfn.NORM.DIST(K82,$R$5,$R$6,FALSE)</f>
        <v>0.10095777634474051</v>
      </c>
      <c r="AC83" s="16">
        <f>_xlfn.NORM.DIST(L82,$S$5,$S$6,FALSE)</f>
        <v>1.3398696793248276E-2</v>
      </c>
      <c r="AH83" s="7">
        <f>$AF$2 * U83 * V83 * W83 * X83</f>
        <v>8.2196867296886148E-6</v>
      </c>
      <c r="AI83" s="7">
        <f>$AF$3 * Z83 * AA83 * AB83 * AC83</f>
        <v>1.3044557460680445E-5</v>
      </c>
      <c r="AK83" s="7" t="str">
        <f t="shared" si="5"/>
        <v>ANEMIA</v>
      </c>
    </row>
    <row r="84" spans="1:37" x14ac:dyDescent="0.25">
      <c r="A84" s="10">
        <v>1</v>
      </c>
      <c r="B84" s="10">
        <v>12.8</v>
      </c>
      <c r="C84" s="10">
        <v>21.6</v>
      </c>
      <c r="D84" s="10">
        <v>28.3</v>
      </c>
      <c r="E84" s="10">
        <v>81.2</v>
      </c>
      <c r="F84" s="10">
        <v>1</v>
      </c>
      <c r="H84" s="10">
        <v>1</v>
      </c>
      <c r="I84" s="10">
        <v>14.4</v>
      </c>
      <c r="J84" s="10">
        <v>25.2</v>
      </c>
      <c r="K84" s="10">
        <v>32.200000000000003</v>
      </c>
      <c r="L84" s="10">
        <v>94.9</v>
      </c>
      <c r="M84" s="10">
        <v>0</v>
      </c>
      <c r="U84" s="14">
        <f>_xlfn.NORM.DIST(I83,$P$2,$P$3,FALSE)</f>
        <v>0.28150773605448098</v>
      </c>
      <c r="V84" s="14">
        <f>_xlfn.NORM.DIST(J83,$Q$2,$Q$3,FALSE)</f>
        <v>5.6767296305142136E-2</v>
      </c>
      <c r="W84" s="14">
        <f>_xlfn.NORM.DIST(K83,$R$2,$R$3,FALSE)</f>
        <v>0.25112628154109884</v>
      </c>
      <c r="X84" s="7">
        <f>_xlfn.NORM.DIST(L83,$S$2,$S$3,FALSE)</f>
        <v>2.6072480157618139E-2</v>
      </c>
      <c r="Z84" s="16">
        <f>_xlfn.NORM.DIST(I83,$P$5,$P$6,FALSE)</f>
        <v>1.1671533213802886E-2</v>
      </c>
      <c r="AA84" s="16">
        <f>_xlfn.NORM.DIST(J83,$Q$5,$Q$6,FALSE)</f>
        <v>7.3191810335592009E-2</v>
      </c>
      <c r="AB84" s="16">
        <f>_xlfn.NORM.DIST(K83,$R$5,$R$6,FALSE)</f>
        <v>0.23440280971091859</v>
      </c>
      <c r="AC84" s="16">
        <f>_xlfn.NORM.DIST(L83,$S$5,$S$6,FALSE)</f>
        <v>2.8878024103842333E-2</v>
      </c>
      <c r="AH84" s="7">
        <f>$AF$2 * U84 * V84 * W84 * X84</f>
        <v>5.4253445900878223E-5</v>
      </c>
      <c r="AI84" s="7">
        <f>$AF$3 * Z84 * AA84 * AB84 * AC84</f>
        <v>2.784199013569839E-6</v>
      </c>
      <c r="AK84" s="7" t="str">
        <f t="shared" si="5"/>
        <v>ANEMIA</v>
      </c>
    </row>
    <row r="85" spans="1:37" x14ac:dyDescent="0.25">
      <c r="A85" s="10">
        <v>0</v>
      </c>
      <c r="B85" s="10">
        <v>10.6</v>
      </c>
      <c r="C85" s="10">
        <v>25.6</v>
      </c>
      <c r="D85" s="10">
        <v>28</v>
      </c>
      <c r="E85" s="10">
        <v>72.099999999999994</v>
      </c>
      <c r="F85" s="10">
        <v>1</v>
      </c>
      <c r="H85" s="10">
        <v>0</v>
      </c>
      <c r="I85" s="10">
        <v>14</v>
      </c>
      <c r="J85" s="10">
        <v>18.2</v>
      </c>
      <c r="K85" s="10">
        <v>29.6</v>
      </c>
      <c r="L85" s="10">
        <v>77.599999999999994</v>
      </c>
      <c r="M85" s="10">
        <v>0</v>
      </c>
      <c r="U85" s="14">
        <f>_xlfn.NORM.DIST(I84,$P$2,$P$3,FALSE)</f>
        <v>0.28671693775724089</v>
      </c>
      <c r="V85" s="14">
        <f>_xlfn.NORM.DIST(J84,$Q$2,$Q$3,FALSE)</f>
        <v>9.453749199151977E-2</v>
      </c>
      <c r="W85" s="14">
        <f>_xlfn.NORM.DIST(K84,$R$2,$R$3,FALSE)</f>
        <v>0.14134082598061617</v>
      </c>
      <c r="X85" s="7">
        <f>_xlfn.NORM.DIST(L84,$S$2,$S$3,FALSE)</f>
        <v>2.583951612242881E-2</v>
      </c>
      <c r="Z85" s="16">
        <f>_xlfn.NORM.DIST(I84,$P$5,$P$6,FALSE)</f>
        <v>8.6066196176033914E-3</v>
      </c>
      <c r="AA85" s="16">
        <f>_xlfn.NORM.DIST(J84,$Q$5,$Q$6,FALSE)</f>
        <v>7.7506581748643E-2</v>
      </c>
      <c r="AB85" s="16">
        <f>_xlfn.NORM.DIST(K84,$R$5,$R$6,FALSE)</f>
        <v>0.10095777634474051</v>
      </c>
      <c r="AC85" s="16">
        <f>_xlfn.NORM.DIST(L84,$S$5,$S$6,FALSE)</f>
        <v>2.8629184158405603E-2</v>
      </c>
      <c r="AH85" s="7">
        <f>$AF$2 * U85 * V85 * W85 * X85</f>
        <v>5.1330287809044607E-5</v>
      </c>
      <c r="AI85" s="7">
        <f>$AF$3 * Z85 * AA85 * AB85 * AC85</f>
        <v>9.283238955545055E-7</v>
      </c>
      <c r="AK85" s="7" t="str">
        <f t="shared" si="5"/>
        <v>ANEMIA</v>
      </c>
    </row>
    <row r="86" spans="1:37" x14ac:dyDescent="0.25">
      <c r="A86" s="10">
        <v>1</v>
      </c>
      <c r="B86" s="10">
        <v>13.1</v>
      </c>
      <c r="C86" s="10">
        <v>26.9</v>
      </c>
      <c r="D86" s="10">
        <v>29.5</v>
      </c>
      <c r="E86" s="10">
        <v>77.599999999999994</v>
      </c>
      <c r="F86" s="10">
        <v>1</v>
      </c>
      <c r="H86" s="10">
        <v>0</v>
      </c>
      <c r="I86" s="10">
        <v>16.8</v>
      </c>
      <c r="J86" s="10">
        <v>24.4</v>
      </c>
      <c r="K86" s="10">
        <v>28.2</v>
      </c>
      <c r="L86" s="10">
        <v>74.8</v>
      </c>
      <c r="M86" s="10">
        <v>0</v>
      </c>
      <c r="U86" s="14">
        <f>_xlfn.NORM.DIST(I85,$P$2,$P$3,FALSE)</f>
        <v>0.25794037296995898</v>
      </c>
      <c r="V86" s="14">
        <f>_xlfn.NORM.DIST(J85,$Q$2,$Q$3,FALSE)</f>
        <v>4.075127881905425E-2</v>
      </c>
      <c r="W86" s="14">
        <f>_xlfn.NORM.DIST(K85,$R$2,$R$3,FALSE)</f>
        <v>0.21820908779687426</v>
      </c>
      <c r="X86" s="7">
        <f>_xlfn.NORM.DIST(L85,$S$2,$S$3,FALSE)</f>
        <v>2.8802412968162924E-2</v>
      </c>
      <c r="Z86" s="16">
        <f>_xlfn.NORM.DIST(I85,$P$5,$P$6,FALSE)</f>
        <v>2.7043714447110092E-2</v>
      </c>
      <c r="AA86" s="16">
        <f>_xlfn.NORM.DIST(J85,$Q$5,$Q$6,FALSE)</f>
        <v>5.8183610508458654E-2</v>
      </c>
      <c r="AB86" s="16">
        <f>_xlfn.NORM.DIST(K85,$R$5,$R$6,FALSE)</f>
        <v>0.25264012556895021</v>
      </c>
      <c r="AC86" s="16">
        <f>_xlfn.NORM.DIST(L85,$S$5,$S$6,FALSE)</f>
        <v>2.6593216543614153E-2</v>
      </c>
      <c r="AH86" s="7">
        <f>$AF$2 * U86 * V86 * W86 * X86</f>
        <v>3.4255202853664696E-5</v>
      </c>
      <c r="AI86" s="7">
        <f>$AF$3 * Z86 * AA86 * AB86 * AC86</f>
        <v>5.090023595332444E-6</v>
      </c>
      <c r="AK86" s="7" t="str">
        <f t="shared" si="5"/>
        <v>ANEMIA</v>
      </c>
    </row>
    <row r="87" spans="1:37" x14ac:dyDescent="0.25">
      <c r="A87" s="10">
        <v>0</v>
      </c>
      <c r="B87" s="10">
        <v>11.1</v>
      </c>
      <c r="C87" s="10">
        <v>16.100000000000001</v>
      </c>
      <c r="D87" s="10">
        <v>32.5</v>
      </c>
      <c r="E87" s="10">
        <v>77.099999999999994</v>
      </c>
      <c r="F87" s="10">
        <v>1</v>
      </c>
      <c r="H87" s="10">
        <v>0</v>
      </c>
      <c r="I87" s="10">
        <v>16.899999999999999</v>
      </c>
      <c r="J87" s="10">
        <v>19.3</v>
      </c>
      <c r="K87" s="10">
        <v>29.1</v>
      </c>
      <c r="L87" s="10">
        <v>82.1</v>
      </c>
      <c r="M87" s="10">
        <v>0</v>
      </c>
      <c r="U87" s="14">
        <f>_xlfn.NORM.DIST(I86,$P$2,$P$3,FALSE)</f>
        <v>8.7996927894378255E-2</v>
      </c>
      <c r="V87" s="14">
        <f>_xlfn.NORM.DIST(J86,$Q$2,$Q$3,FALSE)</f>
        <v>0.10225437585710119</v>
      </c>
      <c r="W87" s="14">
        <f>_xlfn.NORM.DIST(K86,$R$2,$R$3,FALSE)</f>
        <v>8.4285573228297064E-2</v>
      </c>
      <c r="X87" s="7">
        <f>_xlfn.NORM.DIST(L86,$S$2,$S$3,FALSE)</f>
        <v>2.2306470478976367E-2</v>
      </c>
      <c r="Z87" s="16">
        <f>_xlfn.NORM.DIST(I86,$P$5,$P$6,FALSE)</f>
        <v>1.4533552246717815E-7</v>
      </c>
      <c r="AA87" s="16">
        <f>_xlfn.NORM.DIST(J86,$Q$5,$Q$6,FALSE)</f>
        <v>8.7656767290035686E-2</v>
      </c>
      <c r="AB87" s="16">
        <f>_xlfn.NORM.DIST(K86,$R$5,$R$6,FALSE)</f>
        <v>0.1160966064701283</v>
      </c>
      <c r="AC87" s="16">
        <f>_xlfn.NORM.DIST(L86,$S$5,$S$6,FALSE)</f>
        <v>1.9522893497449571E-2</v>
      </c>
      <c r="AH87" s="7">
        <f>$AF$2 * U87 * V87 * W87 * X87</f>
        <v>8.7719831140189036E-6</v>
      </c>
      <c r="AI87" s="7">
        <f>$AF$3 * Z87 * AA87 * AB87 * AC87</f>
        <v>1.390274397257391E-11</v>
      </c>
      <c r="AK87" s="7" t="str">
        <f t="shared" si="5"/>
        <v>ANEMIA</v>
      </c>
    </row>
    <row r="88" spans="1:37" x14ac:dyDescent="0.25">
      <c r="A88" s="10">
        <v>0</v>
      </c>
      <c r="B88" s="10">
        <v>11.7</v>
      </c>
      <c r="C88" s="10">
        <v>19.899999999999999</v>
      </c>
      <c r="D88" s="10">
        <v>28.9</v>
      </c>
      <c r="E88" s="10">
        <v>71.599999999999994</v>
      </c>
      <c r="F88" s="10">
        <v>1</v>
      </c>
      <c r="H88" s="10">
        <v>1</v>
      </c>
      <c r="I88" s="10">
        <v>12.3</v>
      </c>
      <c r="J88" s="10">
        <v>22.9</v>
      </c>
      <c r="K88" s="10">
        <v>27.9</v>
      </c>
      <c r="L88" s="10">
        <v>71</v>
      </c>
      <c r="M88" s="10">
        <v>1</v>
      </c>
      <c r="U88" s="14">
        <f>_xlfn.NORM.DIST(I87,$P$2,$P$3,FALSE)</f>
        <v>7.8298902583136168E-2</v>
      </c>
      <c r="V88" s="14">
        <f>_xlfn.NORM.DIST(J87,$Q$2,$Q$3,FALSE)</f>
        <v>5.8453680385663065E-2</v>
      </c>
      <c r="W88" s="14">
        <f>_xlfn.NORM.DIST(K87,$R$2,$R$3,FALSE)</f>
        <v>0.1708787409988701</v>
      </c>
      <c r="X88" s="7">
        <f>_xlfn.NORM.DIST(L87,$S$2,$S$3,FALSE)</f>
        <v>3.7031944736036722E-2</v>
      </c>
      <c r="Z88" s="16">
        <f>_xlfn.NORM.DIST(I87,$P$5,$P$6,FALSE)</f>
        <v>7.8879111122154784E-8</v>
      </c>
      <c r="AA88" s="16">
        <f>_xlfn.NORM.DIST(J87,$Q$5,$Q$6,FALSE)</f>
        <v>7.4632451723530654E-2</v>
      </c>
      <c r="AB88" s="16">
        <f>_xlfn.NORM.DIST(K87,$R$5,$R$6,FALSE)</f>
        <v>0.21196950901253542</v>
      </c>
      <c r="AC88" s="16">
        <f>_xlfn.NORM.DIST(L87,$S$5,$S$6,FALSE)</f>
        <v>3.6742809685422873E-2</v>
      </c>
      <c r="AH88" s="7">
        <f>$AF$2 * U88 * V88 * W88 * X88</f>
        <v>1.5017455803309256E-5</v>
      </c>
      <c r="AI88" s="7">
        <f>$AF$3 * Z88 * AA88 * AB88 * AC88</f>
        <v>2.207572940163425E-11</v>
      </c>
      <c r="AK88" s="7" t="str">
        <f t="shared" si="5"/>
        <v>SEHAT</v>
      </c>
    </row>
    <row r="89" spans="1:37" x14ac:dyDescent="0.25">
      <c r="A89" s="10">
        <v>1</v>
      </c>
      <c r="B89" s="10">
        <v>12.7</v>
      </c>
      <c r="C89" s="10">
        <v>22.5</v>
      </c>
      <c r="D89" s="10">
        <v>28.3</v>
      </c>
      <c r="E89" s="10">
        <v>93.5</v>
      </c>
      <c r="F89" s="10">
        <v>1</v>
      </c>
      <c r="H89" s="10">
        <v>1</v>
      </c>
      <c r="I89" s="10">
        <v>11.6</v>
      </c>
      <c r="J89" s="10">
        <v>24.6</v>
      </c>
      <c r="K89" s="10">
        <v>28.2</v>
      </c>
      <c r="L89" s="10">
        <v>96.7</v>
      </c>
      <c r="M89" s="10">
        <v>1</v>
      </c>
      <c r="U89" s="14">
        <f>_xlfn.NORM.DIST(I88,$P$2,$P$3,FALSE)</f>
        <v>6.2713534387758965E-2</v>
      </c>
      <c r="V89" s="14">
        <f>_xlfn.NORM.DIST(J88,$Q$2,$Q$3,FALSE)</f>
        <v>0.10491141141411343</v>
      </c>
      <c r="W89" s="14">
        <f>_xlfn.NORM.DIST(K88,$R$2,$R$3,FALSE)</f>
        <v>6.170996757015406E-2</v>
      </c>
      <c r="X89" s="7">
        <f>_xlfn.NORM.DIST(L88,$S$2,$S$3,FALSE)</f>
        <v>1.3961319540534263E-2</v>
      </c>
      <c r="Z89" s="16">
        <f>_xlfn.NORM.DIST(I88,$P$5,$P$6,FALSE)</f>
        <v>0.3934344722632937</v>
      </c>
      <c r="AA89" s="16">
        <f>_xlfn.NORM.DIST(J88,$Q$5,$Q$6,FALSE)</f>
        <v>9.9065555121403401E-2</v>
      </c>
      <c r="AB89" s="16">
        <f>_xlfn.NORM.DIST(K88,$R$5,$R$6,FALSE)</f>
        <v>8.7532752000514788E-2</v>
      </c>
      <c r="AC89" s="16">
        <f>_xlfn.NORM.DIST(L88,$S$5,$S$6,FALSE)</f>
        <v>1.1242809219360595E-2</v>
      </c>
      <c r="AH89" s="7">
        <f>$AF$2 * U89 * V89 * W89 * X89</f>
        <v>2.9392062600057916E-6</v>
      </c>
      <c r="AI89" s="7">
        <f>$AF$3 * Z89 * AA89 * AB89 * AC89</f>
        <v>1.8468009918961862E-5</v>
      </c>
      <c r="AK89" s="7" t="str">
        <f t="shared" si="5"/>
        <v>SEHAT</v>
      </c>
    </row>
    <row r="90" spans="1:37" x14ac:dyDescent="0.25">
      <c r="A90" s="10">
        <v>1</v>
      </c>
      <c r="B90" s="10">
        <v>12.2</v>
      </c>
      <c r="C90" s="10">
        <v>20.100000000000001</v>
      </c>
      <c r="D90" s="10">
        <v>29.8</v>
      </c>
      <c r="E90" s="10">
        <v>72.599999999999994</v>
      </c>
      <c r="F90" s="10">
        <v>1</v>
      </c>
      <c r="H90" s="10">
        <v>0</v>
      </c>
      <c r="I90" s="10">
        <v>11.7</v>
      </c>
      <c r="J90" s="10">
        <v>24.4</v>
      </c>
      <c r="K90" s="10">
        <v>31.5</v>
      </c>
      <c r="L90" s="10">
        <v>99.8</v>
      </c>
      <c r="M90" s="10">
        <v>1</v>
      </c>
      <c r="U90" s="14">
        <f>_xlfn.NORM.DIST(I89,$P$2,$P$3,FALSE)</f>
        <v>2.2249751820158668E-2</v>
      </c>
      <c r="V90" s="14">
        <f>_xlfn.NORM.DIST(J89,$Q$2,$Q$3,FALSE)</f>
        <v>0.10069256537417029</v>
      </c>
      <c r="W90" s="14">
        <f>_xlfn.NORM.DIST(K89,$R$2,$R$3,FALSE)</f>
        <v>8.4285573228297064E-2</v>
      </c>
      <c r="X90" s="7">
        <f>_xlfn.NORM.DIST(L89,$S$2,$S$3,FALSE)</f>
        <v>2.1622812268698902E-2</v>
      </c>
      <c r="Z90" s="16">
        <f>_xlfn.NORM.DIST(I89,$P$5,$P$6,FALSE)</f>
        <v>0.42306811818703266</v>
      </c>
      <c r="AA90" s="16">
        <f>_xlfn.NORM.DIST(J89,$Q$5,$Q$6,FALSE)</f>
        <v>8.5322023647895304E-2</v>
      </c>
      <c r="AB90" s="16">
        <f>_xlfn.NORM.DIST(K89,$R$5,$R$6,FALSE)</f>
        <v>0.1160966064701283</v>
      </c>
      <c r="AC90" s="16">
        <f>_xlfn.NORM.DIST(L89,$S$5,$S$6,FALSE)</f>
        <v>2.4061040200139341E-2</v>
      </c>
      <c r="AH90" s="7">
        <f>$AF$2 * U90 * V90 * W90 * X90</f>
        <v>2.1171531295366622E-6</v>
      </c>
      <c r="AI90" s="7">
        <f>$AF$3 * Z90 * AA90 * AB90 * AC90</f>
        <v>4.8549522003269717E-5</v>
      </c>
      <c r="AK90" s="7" t="str">
        <f t="shared" si="5"/>
        <v>SEHAT</v>
      </c>
    </row>
    <row r="91" spans="1:37" x14ac:dyDescent="0.25">
      <c r="A91" s="10">
        <v>1</v>
      </c>
      <c r="B91" s="10">
        <v>11.5</v>
      </c>
      <c r="C91" s="10">
        <v>17.399999999999999</v>
      </c>
      <c r="D91" s="10">
        <v>32.1</v>
      </c>
      <c r="E91" s="10">
        <v>87.3</v>
      </c>
      <c r="F91" s="10">
        <v>1</v>
      </c>
      <c r="H91" s="10">
        <v>1</v>
      </c>
      <c r="I91" s="10">
        <v>12.9</v>
      </c>
      <c r="J91" s="10">
        <v>19.5</v>
      </c>
      <c r="K91" s="10">
        <v>28.7</v>
      </c>
      <c r="L91" s="10">
        <v>87.7</v>
      </c>
      <c r="M91" s="10">
        <v>1</v>
      </c>
      <c r="U91" s="14">
        <f>_xlfn.NORM.DIST(I90,$P$2,$P$3,FALSE)</f>
        <v>2.622146942827483E-2</v>
      </c>
      <c r="V91" s="14">
        <f>_xlfn.NORM.DIST(J90,$Q$2,$Q$3,FALSE)</f>
        <v>0.10225437585710119</v>
      </c>
      <c r="W91" s="14">
        <f>_xlfn.NORM.DIST(K90,$R$2,$R$3,FALSE)</f>
        <v>0.21051427821998767</v>
      </c>
      <c r="X91" s="7">
        <f>_xlfn.NORM.DIST(L90,$S$2,$S$3,FALSE)</f>
        <v>1.4778903379930666E-2</v>
      </c>
      <c r="Z91" s="16">
        <f>_xlfn.NORM.DIST(I90,$P$5,$P$6,FALSE)</f>
        <v>0.43438880291191223</v>
      </c>
      <c r="AA91" s="16">
        <f>_xlfn.NORM.DIST(J90,$Q$5,$Q$6,FALSE)</f>
        <v>8.7656767290035686E-2</v>
      </c>
      <c r="AB91" s="16">
        <f>_xlfn.NORM.DIST(K90,$R$5,$R$6,FALSE)</f>
        <v>0.17479754962684682</v>
      </c>
      <c r="AC91" s="16">
        <f>_xlfn.NORM.DIST(L90,$S$5,$S$6,FALSE)</f>
        <v>1.6461433359536679E-2</v>
      </c>
      <c r="AH91" s="7">
        <f>$AF$2 * U91 * V91 * W91 * X91</f>
        <v>4.3254068778101442E-6</v>
      </c>
      <c r="AI91" s="7">
        <f>$AF$3 * Z91 * AA91 * AB91 * AC91</f>
        <v>5.2752937609840502E-5</v>
      </c>
      <c r="AK91" s="7" t="str">
        <f t="shared" si="5"/>
        <v>SEHAT</v>
      </c>
    </row>
    <row r="92" spans="1:37" x14ac:dyDescent="0.25">
      <c r="A92" s="10">
        <v>0</v>
      </c>
      <c r="B92" s="10">
        <v>11.5</v>
      </c>
      <c r="C92" s="10">
        <v>18.899999999999999</v>
      </c>
      <c r="D92" s="10">
        <v>31.2</v>
      </c>
      <c r="E92" s="10">
        <v>81.3</v>
      </c>
      <c r="F92" s="10">
        <v>1</v>
      </c>
      <c r="H92" s="10">
        <v>0</v>
      </c>
      <c r="I92" s="10">
        <v>15</v>
      </c>
      <c r="J92" s="10">
        <v>19.5</v>
      </c>
      <c r="K92" s="10">
        <v>31.3</v>
      </c>
      <c r="L92" s="10">
        <v>71.900000000000006</v>
      </c>
      <c r="M92" s="10">
        <v>0</v>
      </c>
      <c r="U92" s="14">
        <f>_xlfn.NORM.DIST(I91,$P$2,$P$3,FALSE)</f>
        <v>0.12347349570461758</v>
      </c>
      <c r="V92" s="14">
        <f>_xlfn.NORM.DIST(J91,$Q$2,$Q$3,FALSE)</f>
        <v>6.1847433358402405E-2</v>
      </c>
      <c r="W92" s="14">
        <f>_xlfn.NORM.DIST(K91,$R$2,$R$3,FALSE)</f>
        <v>0.13021285682780795</v>
      </c>
      <c r="X92" s="7">
        <f>_xlfn.NORM.DIST(L91,$S$2,$S$3,FALSE)</f>
        <v>3.8475668411253848E-2</v>
      </c>
      <c r="Z92" s="16">
        <f>_xlfn.NORM.DIST(I91,$P$5,$P$6,FALSE)</f>
        <v>0.22918245355882733</v>
      </c>
      <c r="AA92" s="16">
        <f>_xlfn.NORM.DIST(J91,$Q$5,$Q$6,FALSE)</f>
        <v>7.7453213442064184E-2</v>
      </c>
      <c r="AB92" s="16">
        <f>_xlfn.NORM.DIST(K91,$R$5,$R$6,FALSE)</f>
        <v>0.16974328118745113</v>
      </c>
      <c r="AC92" s="16">
        <f>_xlfn.NORM.DIST(L91,$S$5,$S$6,FALSE)</f>
        <v>4.0757815377454758E-2</v>
      </c>
      <c r="AH92" s="7">
        <f>$AF$2 * U92 * V92 * W92 * X92</f>
        <v>1.9838084562768672E-5</v>
      </c>
      <c r="AI92" s="7">
        <f>$AF$3 * Z92 * AA92 * AB92 * AC92</f>
        <v>5.9129456105791213E-5</v>
      </c>
      <c r="AK92" s="7" t="str">
        <f t="shared" si="5"/>
        <v>ANEMIA</v>
      </c>
    </row>
    <row r="93" spans="1:37" x14ac:dyDescent="0.25">
      <c r="A93" s="10">
        <v>1</v>
      </c>
      <c r="B93" s="10">
        <v>11.5</v>
      </c>
      <c r="C93" s="10">
        <v>19.2</v>
      </c>
      <c r="D93" s="10">
        <v>30.8</v>
      </c>
      <c r="E93" s="10">
        <v>78.2</v>
      </c>
      <c r="F93" s="10">
        <v>1</v>
      </c>
      <c r="H93" s="10">
        <v>0</v>
      </c>
      <c r="I93" s="10">
        <v>13.6</v>
      </c>
      <c r="J93" s="10">
        <v>28.8</v>
      </c>
      <c r="K93" s="10">
        <v>32.5</v>
      </c>
      <c r="L93" s="10">
        <v>99.6</v>
      </c>
      <c r="M93" s="10">
        <v>0</v>
      </c>
      <c r="U93" s="14">
        <f>_xlfn.NORM.DIST(I92,$P$2,$P$3,FALSE)</f>
        <v>0.28572258306996473</v>
      </c>
      <c r="V93" s="14">
        <f>_xlfn.NORM.DIST(J92,$Q$2,$Q$3,FALSE)</f>
        <v>6.1847433358402405E-2</v>
      </c>
      <c r="W93" s="14">
        <f>_xlfn.NORM.DIST(K92,$R$2,$R$3,FALSE)</f>
        <v>0.22707584796706057</v>
      </c>
      <c r="X93" s="7">
        <f>_xlfn.NORM.DIST(L92,$S$2,$S$3,FALSE)</f>
        <v>1.5798879849312556E-2</v>
      </c>
      <c r="Z93" s="16">
        <f>_xlfn.NORM.DIST(I92,$P$5,$P$6,FALSE)</f>
        <v>1.0696572763856246E-3</v>
      </c>
      <c r="AA93" s="16">
        <f>_xlfn.NORM.DIST(J92,$Q$5,$Q$6,FALSE)</f>
        <v>7.7453213442064184E-2</v>
      </c>
      <c r="AB93" s="16">
        <f>_xlfn.NORM.DIST(K92,$R$5,$R$6,FALSE)</f>
        <v>0.19629061328130362</v>
      </c>
      <c r="AC93" s="16">
        <f>_xlfn.NORM.DIST(L92,$S$5,$S$6,FALSE)</f>
        <v>1.2990413011665446E-2</v>
      </c>
      <c r="AH93" s="7">
        <f>$AF$2 * U93 * V93 * W93 * X93</f>
        <v>3.28721236187289E-5</v>
      </c>
      <c r="AI93" s="7">
        <f>$AF$3 * Z93 * AA93 * AB93 * AC93</f>
        <v>1.0171527316653335E-7</v>
      </c>
      <c r="AK93" s="7" t="str">
        <f t="shared" si="5"/>
        <v>ANEMIA</v>
      </c>
    </row>
    <row r="94" spans="1:37" x14ac:dyDescent="0.25">
      <c r="A94" s="10">
        <v>1</v>
      </c>
      <c r="B94" s="10">
        <v>13.1</v>
      </c>
      <c r="C94" s="10">
        <v>21.3</v>
      </c>
      <c r="D94" s="10">
        <v>32.4</v>
      </c>
      <c r="E94" s="10">
        <v>100.6</v>
      </c>
      <c r="F94" s="10">
        <v>1</v>
      </c>
      <c r="H94" s="10">
        <v>0</v>
      </c>
      <c r="I94" s="10">
        <v>11.2</v>
      </c>
      <c r="J94" s="10">
        <v>18.8</v>
      </c>
      <c r="K94" s="10">
        <v>30.9</v>
      </c>
      <c r="L94" s="10">
        <v>94.7</v>
      </c>
      <c r="M94" s="10">
        <v>1</v>
      </c>
      <c r="U94" s="14">
        <f>_xlfn.NORM.DIST(I93,$P$2,$P$3,FALSE)</f>
        <v>0.2128302684397759</v>
      </c>
      <c r="V94" s="14">
        <f>_xlfn.NORM.DIST(J93,$Q$2,$Q$3,FALSE)</f>
        <v>3.8022368156995202E-2</v>
      </c>
      <c r="W94" s="14">
        <f>_xlfn.NORM.DIST(K93,$R$2,$R$3,FALSE)</f>
        <v>0.11182704665325215</v>
      </c>
      <c r="X94" s="7">
        <f>_xlfn.NORM.DIST(L93,$S$2,$S$3,FALSE)</f>
        <v>1.5188935098214385E-2</v>
      </c>
      <c r="Z94" s="16">
        <f>_xlfn.NORM.DIST(I93,$P$5,$P$6,FALSE)</f>
        <v>6.9840415614699683E-2</v>
      </c>
      <c r="AA94" s="16">
        <f>_xlfn.NORM.DIST(J93,$Q$5,$Q$6,FALSE)</f>
        <v>2.7082519258554351E-2</v>
      </c>
      <c r="AB94" s="16">
        <f>_xlfn.NORM.DIST(K93,$R$5,$R$6,FALSE)</f>
        <v>7.4539911265096903E-2</v>
      </c>
      <c r="AC94" s="16">
        <f>_xlfn.NORM.DIST(L93,$S$5,$S$6,FALSE)</f>
        <v>1.6921262885283464E-2</v>
      </c>
      <c r="AH94" s="7">
        <f>$AF$2 * U94 * V94 * W94 * X94</f>
        <v>7.1270697436348876E-6</v>
      </c>
      <c r="AI94" s="7">
        <f>$AF$3 * Z94 * AA94 * AB94 * AC94</f>
        <v>1.1486748384117172E-6</v>
      </c>
      <c r="AK94" s="7" t="str">
        <f t="shared" si="5"/>
        <v>SEHAT</v>
      </c>
    </row>
    <row r="95" spans="1:37" x14ac:dyDescent="0.25">
      <c r="A95" s="10">
        <v>1</v>
      </c>
      <c r="B95" s="10">
        <v>12.8</v>
      </c>
      <c r="C95" s="10">
        <v>19.5</v>
      </c>
      <c r="D95" s="10">
        <v>32.200000000000003</v>
      </c>
      <c r="E95" s="10">
        <v>72.099999999999994</v>
      </c>
      <c r="F95" s="10">
        <v>1</v>
      </c>
      <c r="H95" s="10">
        <v>0</v>
      </c>
      <c r="I95" s="10">
        <v>11.6</v>
      </c>
      <c r="J95" s="10">
        <v>18.8</v>
      </c>
      <c r="K95" s="10">
        <v>29.3</v>
      </c>
      <c r="L95" s="10">
        <v>79.099999999999994</v>
      </c>
      <c r="M95" s="10">
        <v>1</v>
      </c>
      <c r="U95" s="14">
        <f>_xlfn.NORM.DIST(I94,$P$2,$P$3,FALSE)</f>
        <v>1.0927676079834869E-2</v>
      </c>
      <c r="V95" s="14">
        <f>_xlfn.NORM.DIST(J94,$Q$2,$Q$3,FALSE)</f>
        <v>5.0140116951563007E-2</v>
      </c>
      <c r="W95" s="14">
        <f>_xlfn.NORM.DIST(K94,$R$2,$R$3,FALSE)</f>
        <v>0.25112628154109884</v>
      </c>
      <c r="X95" s="7">
        <f>_xlfn.NORM.DIST(L94,$S$2,$S$3,FALSE)</f>
        <v>2.6304991031001916E-2</v>
      </c>
      <c r="Z95" s="16">
        <f>_xlfn.NORM.DIST(I94,$P$5,$P$6,FALSE)</f>
        <v>0.33673729478962217</v>
      </c>
      <c r="AA95" s="16">
        <f>_xlfn.NORM.DIST(J94,$Q$5,$Q$6,FALSE)</f>
        <v>6.7277924951430812E-2</v>
      </c>
      <c r="AB95" s="16">
        <f>_xlfn.NORM.DIST(K94,$R$5,$R$6,FALSE)</f>
        <v>0.23440280971091859</v>
      </c>
      <c r="AC95" s="16">
        <f>_xlfn.NORM.DIST(L94,$S$5,$S$6,FALSE)</f>
        <v>2.9125951368520357E-2</v>
      </c>
      <c r="AH95" s="7">
        <f>$AF$2 * U95 * V95 * W95 * X95</f>
        <v>1.8767557335400805E-6</v>
      </c>
      <c r="AI95" s="7">
        <f>$AF$3 * Z95 * AA95 * AB95 * AC95</f>
        <v>7.4470852944374727E-5</v>
      </c>
      <c r="AK95" s="7" t="str">
        <f t="shared" si="5"/>
        <v>SEHAT</v>
      </c>
    </row>
    <row r="96" spans="1:37" x14ac:dyDescent="0.25">
      <c r="A96" s="10">
        <v>1</v>
      </c>
      <c r="B96" s="10">
        <v>12.3</v>
      </c>
      <c r="C96" s="10">
        <v>22.9</v>
      </c>
      <c r="D96" s="10">
        <v>27.9</v>
      </c>
      <c r="E96" s="10">
        <v>71</v>
      </c>
      <c r="F96" s="10">
        <v>1</v>
      </c>
      <c r="H96" s="10">
        <v>1</v>
      </c>
      <c r="I96" s="10">
        <v>12.1</v>
      </c>
      <c r="J96" s="10">
        <v>18.899999999999999</v>
      </c>
      <c r="K96" s="10">
        <v>31.2</v>
      </c>
      <c r="L96" s="10">
        <v>76</v>
      </c>
      <c r="M96" s="10">
        <v>1</v>
      </c>
      <c r="U96" s="14">
        <f>_xlfn.NORM.DIST(I95,$P$2,$P$3,FALSE)</f>
        <v>2.2249751820158668E-2</v>
      </c>
      <c r="V96" s="14">
        <f>_xlfn.NORM.DIST(J95,$Q$2,$Q$3,FALSE)</f>
        <v>5.0140116951563007E-2</v>
      </c>
      <c r="W96" s="14">
        <f>_xlfn.NORM.DIST(K95,$R$2,$R$3,FALSE)</f>
        <v>0.19084304754727885</v>
      </c>
      <c r="X96" s="7">
        <f>_xlfn.NORM.DIST(L95,$S$2,$S$3,FALSE)</f>
        <v>3.2010807531727636E-2</v>
      </c>
      <c r="Z96" s="16">
        <f>_xlfn.NORM.DIST(I95,$P$5,$P$6,FALSE)</f>
        <v>0.42306811818703266</v>
      </c>
      <c r="AA96" s="16">
        <f>_xlfn.NORM.DIST(J95,$Q$5,$Q$6,FALSE)</f>
        <v>6.7277924951430812E-2</v>
      </c>
      <c r="AB96" s="16">
        <f>_xlfn.NORM.DIST(K95,$R$5,$R$6,FALSE)</f>
        <v>0.23050547392356274</v>
      </c>
      <c r="AC96" s="16">
        <f>_xlfn.NORM.DIST(L95,$S$5,$S$6,FALSE)</f>
        <v>3.0331170552318477E-2</v>
      </c>
      <c r="AH96" s="7">
        <f>$AF$2 * U96 * V96 * W96 * X96</f>
        <v>3.5338471301202376E-6</v>
      </c>
      <c r="AI96" s="7">
        <f>$AF$3 * Z96 * AA96 * AB96 * AC96</f>
        <v>9.5814864402105844E-5</v>
      </c>
      <c r="AK96" s="7" t="str">
        <f t="shared" si="5"/>
        <v>SEHAT</v>
      </c>
    </row>
    <row r="97" spans="1:37" x14ac:dyDescent="0.25">
      <c r="A97" s="10">
        <v>1</v>
      </c>
      <c r="B97" s="10">
        <v>11.6</v>
      </c>
      <c r="C97" s="10">
        <v>24.6</v>
      </c>
      <c r="D97" s="10">
        <v>28.2</v>
      </c>
      <c r="E97" s="10">
        <v>96.7</v>
      </c>
      <c r="F97" s="10">
        <v>1</v>
      </c>
      <c r="H97" s="10">
        <v>0</v>
      </c>
      <c r="I97" s="10">
        <v>16</v>
      </c>
      <c r="J97" s="10">
        <v>23.6</v>
      </c>
      <c r="K97" s="10">
        <v>29.4</v>
      </c>
      <c r="L97" s="10">
        <v>95.6</v>
      </c>
      <c r="M97" s="10">
        <v>0</v>
      </c>
      <c r="U97" s="14">
        <f>_xlfn.NORM.DIST(I96,$P$2,$P$3,FALSE)</f>
        <v>4.7919745496667672E-2</v>
      </c>
      <c r="V97" s="14">
        <f>_xlfn.NORM.DIST(J96,$Q$2,$Q$3,FALSE)</f>
        <v>5.177526131376671E-2</v>
      </c>
      <c r="W97" s="14">
        <f>_xlfn.NORM.DIST(K96,$R$2,$R$3,FALSE)</f>
        <v>0.23434648515271703</v>
      </c>
      <c r="X97" s="7">
        <f>_xlfn.NORM.DIST(L96,$S$2,$S$3,FALSE)</f>
        <v>2.5121667201476697E-2</v>
      </c>
      <c r="Z97" s="16">
        <f>_xlfn.NORM.DIST(I96,$P$5,$P$6,FALSE)</f>
        <v>0.427076946054263</v>
      </c>
      <c r="AA97" s="16">
        <f>_xlfn.NORM.DIST(J96,$Q$5,$Q$6,FALSE)</f>
        <v>6.8774812778799349E-2</v>
      </c>
      <c r="AB97" s="16">
        <f>_xlfn.NORM.DIST(K96,$R$5,$R$6,FALSE)</f>
        <v>0.20659675222711554</v>
      </c>
      <c r="AC97" s="16">
        <f>_xlfn.NORM.DIST(L96,$S$5,$S$6,FALSE)</f>
        <v>2.2515011335247678E-2</v>
      </c>
      <c r="AH97" s="7">
        <f>$AF$2 * U97 * V97 * W97 * X97</f>
        <v>7.5736978654245441E-6</v>
      </c>
      <c r="AI97" s="7">
        <f>$AF$3 * Z97 * AA97 * AB97 * AC97</f>
        <v>6.5782563464010125E-5</v>
      </c>
      <c r="AK97" s="7" t="str">
        <f t="shared" si="5"/>
        <v>ANEMIA</v>
      </c>
    </row>
    <row r="98" spans="1:37" x14ac:dyDescent="0.25">
      <c r="A98" s="10">
        <v>0</v>
      </c>
      <c r="B98" s="10">
        <v>11.7</v>
      </c>
      <c r="C98" s="10">
        <v>24.4</v>
      </c>
      <c r="D98" s="10">
        <v>31.5</v>
      </c>
      <c r="E98" s="10">
        <v>99.8</v>
      </c>
      <c r="F98" s="10">
        <v>1</v>
      </c>
      <c r="H98" s="10">
        <v>0</v>
      </c>
      <c r="I98" s="10">
        <v>13.2</v>
      </c>
      <c r="J98" s="10">
        <v>25.6</v>
      </c>
      <c r="K98" s="10">
        <v>31.1</v>
      </c>
      <c r="L98" s="10">
        <v>100.4</v>
      </c>
      <c r="M98" s="10">
        <v>0</v>
      </c>
      <c r="U98" s="14">
        <f>_xlfn.NORM.DIST(I97,$P$2,$P$3,FALSE)</f>
        <v>0.18436157449279814</v>
      </c>
      <c r="V98" s="14">
        <f>_xlfn.NORM.DIST(J97,$Q$2,$Q$3,FALSE)</f>
        <v>0.10572722239967976</v>
      </c>
      <c r="W98" s="14">
        <f>_xlfn.NORM.DIST(K97,$R$2,$R$3,FALSE)</f>
        <v>0.2004071919090199</v>
      </c>
      <c r="X98" s="7">
        <f>_xlfn.NORM.DIST(L97,$S$2,$S$3,FALSE)</f>
        <v>2.4200158629086629E-2</v>
      </c>
      <c r="Z98" s="16">
        <f>_xlfn.NORM.DIST(I97,$P$5,$P$6,FALSE)</f>
        <v>1.2415525024875349E-5</v>
      </c>
      <c r="AA98" s="16">
        <f>_xlfn.NORM.DIST(J97,$Q$5,$Q$6,FALSE)</f>
        <v>9.5228417921305583E-2</v>
      </c>
      <c r="AB98" s="16">
        <f>_xlfn.NORM.DIST(K97,$R$5,$R$6,FALSE)</f>
        <v>0.23874101184268501</v>
      </c>
      <c r="AC98" s="16">
        <f>_xlfn.NORM.DIST(L97,$S$5,$S$6,FALSE)</f>
        <v>2.6866770292678036E-2</v>
      </c>
      <c r="AH98" s="7">
        <f>$AF$2 * U98 * V98 * W98 * X98</f>
        <v>4.9017710024607809E-5</v>
      </c>
      <c r="AI98" s="7">
        <f>$AF$3 * Z98 * AA98 * AB98 * AC98</f>
        <v>3.651352313227332E-9</v>
      </c>
      <c r="AK98" s="7" t="str">
        <f t="shared" si="5"/>
        <v>ANEMIA</v>
      </c>
    </row>
    <row r="99" spans="1:37" x14ac:dyDescent="0.25">
      <c r="A99" s="10">
        <v>1</v>
      </c>
      <c r="B99" s="10">
        <v>12.9</v>
      </c>
      <c r="C99" s="10">
        <v>19.5</v>
      </c>
      <c r="D99" s="10">
        <v>28.7</v>
      </c>
      <c r="E99" s="10">
        <v>87.7</v>
      </c>
      <c r="F99" s="10">
        <v>1</v>
      </c>
      <c r="H99" s="10">
        <v>0</v>
      </c>
      <c r="I99" s="10">
        <v>13</v>
      </c>
      <c r="J99" s="10">
        <v>26.2</v>
      </c>
      <c r="K99" s="10">
        <v>31.3</v>
      </c>
      <c r="L99" s="10">
        <v>74.900000000000006</v>
      </c>
      <c r="M99" s="10">
        <v>0</v>
      </c>
      <c r="U99" s="14">
        <f>_xlfn.NORM.DIST(I98,$P$2,$P$3,FALSE)</f>
        <v>0.16106291598809838</v>
      </c>
      <c r="V99" s="14">
        <f>_xlfn.NORM.DIST(J98,$Q$2,$Q$3,FALSE)</f>
        <v>8.9376907654875895E-2</v>
      </c>
      <c r="W99" s="14">
        <f>_xlfn.NORM.DIST(K98,$R$2,$R$3,FALSE)</f>
        <v>0.24082846313663575</v>
      </c>
      <c r="X99" s="7">
        <f>_xlfn.NORM.DIST(L98,$S$2,$S$3,FALSE)</f>
        <v>1.3582355855347117E-2</v>
      </c>
      <c r="Z99" s="16">
        <f>_xlfn.NORM.DIST(I98,$P$5,$P$6,FALSE)</f>
        <v>0.14823611683596097</v>
      </c>
      <c r="AA99" s="16">
        <f>_xlfn.NORM.DIST(J98,$Q$5,$Q$6,FALSE)</f>
        <v>7.1790254882220891E-2</v>
      </c>
      <c r="AB99" s="16">
        <f>_xlfn.NORM.DIST(K98,$R$5,$R$6,FALSE)</f>
        <v>0.2164588546847574</v>
      </c>
      <c r="AC99" s="16">
        <f>_xlfn.NORM.DIST(L98,$S$5,$S$6,FALSE)</f>
        <v>1.5117212196189243E-2</v>
      </c>
      <c r="AH99" s="7">
        <f>$AF$2 * U99 * V99 * W99 * X99</f>
        <v>2.4415637732941236E-5</v>
      </c>
      <c r="AI99" s="7">
        <f>$AF$3 * Z99 * AA99 * AB99 * AC99</f>
        <v>1.6766645364122011E-5</v>
      </c>
      <c r="AK99" s="7" t="str">
        <f t="shared" si="5"/>
        <v>ANEMIA</v>
      </c>
    </row>
    <row r="100" spans="1:37" x14ac:dyDescent="0.25">
      <c r="A100" s="10">
        <v>0</v>
      </c>
      <c r="B100" s="10">
        <v>11.2</v>
      </c>
      <c r="C100" s="10">
        <v>18.8</v>
      </c>
      <c r="D100" s="10">
        <v>30.9</v>
      </c>
      <c r="E100" s="10">
        <v>94.7</v>
      </c>
      <c r="F100" s="10">
        <v>1</v>
      </c>
      <c r="H100" s="10">
        <v>1</v>
      </c>
      <c r="I100" s="10">
        <v>13.2</v>
      </c>
      <c r="J100" s="10">
        <v>20.100000000000001</v>
      </c>
      <c r="K100" s="10">
        <v>28.8</v>
      </c>
      <c r="L100" s="10">
        <v>91.2</v>
      </c>
      <c r="M100" s="10">
        <v>1</v>
      </c>
      <c r="U100" s="14">
        <f>_xlfn.NORM.DIST(I99,$P$2,$P$3,FALSE)</f>
        <v>0.13564215337257729</v>
      </c>
      <c r="V100" s="14">
        <f>_xlfn.NORM.DIST(J99,$Q$2,$Q$3,FALSE)</f>
        <v>8.0441914291189409E-2</v>
      </c>
      <c r="W100" s="14">
        <f>_xlfn.NORM.DIST(K99,$R$2,$R$3,FALSE)</f>
        <v>0.22707584796706057</v>
      </c>
      <c r="X100" s="7">
        <f>_xlfn.NORM.DIST(L99,$S$2,$S$3,FALSE)</f>
        <v>2.2540533205457163E-2</v>
      </c>
      <c r="Z100" s="16">
        <f>_xlfn.NORM.DIST(I99,$P$5,$P$6,FALSE)</f>
        <v>0.20064584233468899</v>
      </c>
      <c r="AA100" s="16">
        <f>_xlfn.NORM.DIST(J99,$Q$5,$Q$6,FALSE)</f>
        <v>6.2801323076888169E-2</v>
      </c>
      <c r="AB100" s="16">
        <f>_xlfn.NORM.DIST(K99,$R$5,$R$6,FALSE)</f>
        <v>0.19629061328130362</v>
      </c>
      <c r="AC100" s="16">
        <f>_xlfn.NORM.DIST(L99,$S$5,$S$6,FALSE)</f>
        <v>1.9767741966446623E-2</v>
      </c>
      <c r="AH100" s="7">
        <f>$AF$2 * U100 * V100 * W100 * X100</f>
        <v>2.8958527457987944E-5</v>
      </c>
      <c r="AI100" s="7">
        <f>$AF$3 * Z100 * AA100 * AB100 * AC100</f>
        <v>2.354155477293797E-5</v>
      </c>
      <c r="AK100" s="7" t="str">
        <f t="shared" si="5"/>
        <v>SEHAT</v>
      </c>
    </row>
    <row r="101" spans="1:37" x14ac:dyDescent="0.25">
      <c r="A101" s="10">
        <v>0</v>
      </c>
      <c r="B101" s="10">
        <v>11.6</v>
      </c>
      <c r="C101" s="10">
        <v>18.8</v>
      </c>
      <c r="D101" s="10">
        <v>29.3</v>
      </c>
      <c r="E101" s="10">
        <v>79.099999999999994</v>
      </c>
      <c r="F101" s="10">
        <v>1</v>
      </c>
      <c r="H101" s="10">
        <v>0</v>
      </c>
      <c r="I101" s="10">
        <v>10.6</v>
      </c>
      <c r="J101" s="10">
        <v>25.4</v>
      </c>
      <c r="K101" s="10">
        <v>28.2</v>
      </c>
      <c r="L101" s="10">
        <v>82.9</v>
      </c>
      <c r="M101" s="10">
        <v>1</v>
      </c>
      <c r="U101" s="14">
        <f>_xlfn.NORM.DIST(I100,$P$2,$P$3,FALSE)</f>
        <v>0.16106291598809838</v>
      </c>
      <c r="V101" s="14">
        <f>_xlfn.NORM.DIST(J100,$Q$2,$Q$3,FALSE)</f>
        <v>7.2029649932137882E-2</v>
      </c>
      <c r="W101" s="14">
        <f>_xlfn.NORM.DIST(K100,$R$2,$R$3,FALSE)</f>
        <v>0.14025540400233255</v>
      </c>
      <c r="X101" s="7">
        <f>_xlfn.NORM.DIST(L100,$S$2,$S$3,FALSE)</f>
        <v>3.3762376642187328E-2</v>
      </c>
      <c r="Z101" s="16">
        <f>_xlfn.NORM.DIST(I100,$P$5,$P$6,FALSE)</f>
        <v>0.14823611683596097</v>
      </c>
      <c r="AA101" s="16">
        <f>_xlfn.NORM.DIST(J100,$Q$5,$Q$6,FALSE)</f>
        <v>8.5275638907558945E-2</v>
      </c>
      <c r="AB101" s="16">
        <f>_xlfn.NORM.DIST(K100,$R$5,$R$6,FALSE)</f>
        <v>0.18066371272583612</v>
      </c>
      <c r="AC101" s="16">
        <f>_xlfn.NORM.DIST(L100,$S$5,$S$6,FALSE)</f>
        <v>3.6756390977110816E-2</v>
      </c>
      <c r="AH101" s="7">
        <f>$AF$2 * U101 * V101 * W101 * X101</f>
        <v>2.8485493451329323E-5</v>
      </c>
      <c r="AI101" s="7">
        <f>$AF$3 * Z101 * AA101 * AB101 * AC101</f>
        <v>4.0416843552522532E-5</v>
      </c>
      <c r="AK101" s="7" t="str">
        <f t="shared" si="5"/>
        <v>SEHAT</v>
      </c>
    </row>
    <row r="102" spans="1:37" x14ac:dyDescent="0.25">
      <c r="A102" s="10">
        <v>1</v>
      </c>
      <c r="B102" s="10">
        <v>12.1</v>
      </c>
      <c r="C102" s="10">
        <v>18.899999999999999</v>
      </c>
      <c r="D102" s="10">
        <v>31.2</v>
      </c>
      <c r="E102" s="10">
        <v>76</v>
      </c>
      <c r="F102" s="10">
        <v>1</v>
      </c>
      <c r="H102" s="10">
        <v>1</v>
      </c>
      <c r="I102" s="10">
        <v>12.1</v>
      </c>
      <c r="J102" s="10">
        <v>28.3</v>
      </c>
      <c r="K102" s="10">
        <v>30.4</v>
      </c>
      <c r="L102" s="10">
        <v>86.9</v>
      </c>
      <c r="M102" s="10">
        <v>1</v>
      </c>
      <c r="U102" s="14">
        <f>_xlfn.NORM.DIST(I101,$P$2,$P$3,FALSE)</f>
        <v>3.1983203032981476E-3</v>
      </c>
      <c r="V102" s="14">
        <f>_xlfn.NORM.DIST(J101,$Q$2,$Q$3,FALSE)</f>
        <v>9.2050542808335689E-2</v>
      </c>
      <c r="W102" s="14">
        <f>_xlfn.NORM.DIST(K101,$R$2,$R$3,FALSE)</f>
        <v>8.4285573228297064E-2</v>
      </c>
      <c r="X102" s="7">
        <f>_xlfn.NORM.DIST(L101,$S$2,$S$3,FALSE)</f>
        <v>3.7935286794121094E-2</v>
      </c>
      <c r="Z102" s="16">
        <f>_xlfn.NORM.DIST(I101,$P$5,$P$6,FALSE)</f>
        <v>0.16552943699811137</v>
      </c>
      <c r="AA102" s="16">
        <f>_xlfn.NORM.DIST(J101,$Q$5,$Q$6,FALSE)</f>
        <v>7.4687486494971686E-2</v>
      </c>
      <c r="AB102" s="16">
        <f>_xlfn.NORM.DIST(K101,$R$5,$R$6,FALSE)</f>
        <v>0.1160966064701283</v>
      </c>
      <c r="AC102" s="16">
        <f>_xlfn.NORM.DIST(L101,$S$5,$S$6,FALSE)</f>
        <v>3.8054933308608194E-2</v>
      </c>
      <c r="AH102" s="7">
        <f>$AF$2 * U102 * V102 * W102 * X102</f>
        <v>4.8810043745787957E-7</v>
      </c>
      <c r="AI102" s="7">
        <f>$AF$3 * Z102 * AA102 * AB102 * AC102</f>
        <v>2.6298632167245897E-5</v>
      </c>
      <c r="AK102" s="7" t="str">
        <f t="shared" si="5"/>
        <v>SEHAT</v>
      </c>
    </row>
    <row r="103" spans="1:37" x14ac:dyDescent="0.25">
      <c r="A103" s="10">
        <v>1</v>
      </c>
      <c r="B103" s="10">
        <v>13.2</v>
      </c>
      <c r="C103" s="10">
        <v>20.100000000000001</v>
      </c>
      <c r="D103" s="10">
        <v>28.8</v>
      </c>
      <c r="E103" s="10">
        <v>91.2</v>
      </c>
      <c r="F103" s="10">
        <v>1</v>
      </c>
      <c r="H103" s="10">
        <v>1</v>
      </c>
      <c r="I103" s="10">
        <v>13.1</v>
      </c>
      <c r="J103" s="10">
        <v>17.7</v>
      </c>
      <c r="K103" s="10">
        <v>28.1</v>
      </c>
      <c r="L103" s="10">
        <v>80.7</v>
      </c>
      <c r="M103" s="10">
        <v>1</v>
      </c>
      <c r="U103" s="14">
        <f>_xlfn.NORM.DIST(I102,$P$2,$P$3,FALSE)</f>
        <v>4.7919745496667672E-2</v>
      </c>
      <c r="V103" s="14">
        <f>_xlfn.NORM.DIST(J102,$Q$2,$Q$3,FALSE)</f>
        <v>4.5570133264228034E-2</v>
      </c>
      <c r="W103" s="14">
        <f>_xlfn.NORM.DIST(K102,$R$2,$R$3,FALSE)</f>
        <v>0.25893203267701292</v>
      </c>
      <c r="X103" s="7">
        <f>_xlfn.NORM.DIST(L102,$S$2,$S$3,FALSE)</f>
        <v>3.8985886133327319E-2</v>
      </c>
      <c r="Z103" s="16">
        <f>_xlfn.NORM.DIST(I102,$P$5,$P$6,FALSE)</f>
        <v>0.427076946054263</v>
      </c>
      <c r="AA103" s="16">
        <f>_xlfn.NORM.DIST(J102,$Q$5,$Q$6,FALSE)</f>
        <v>3.2905048405755914E-2</v>
      </c>
      <c r="AB103" s="16">
        <f>_xlfn.NORM.DIST(K102,$R$5,$R$6,FALSE)</f>
        <v>0.26419211290119177</v>
      </c>
      <c r="AC103" s="16">
        <f>_xlfn.NORM.DIST(L102,$S$5,$S$6,FALSE)</f>
        <v>4.0980886318404464E-2</v>
      </c>
      <c r="AH103" s="7">
        <f>$AF$2 * U103 * V103 * W103 * X103</f>
        <v>1.1430158787377358E-5</v>
      </c>
      <c r="AI103" s="7">
        <f>$AF$3 * Z103 * AA103 * AB103 * AC103</f>
        <v>7.3257053335839807E-5</v>
      </c>
      <c r="AK103" s="7" t="str">
        <f t="shared" si="5"/>
        <v>SEHAT</v>
      </c>
    </row>
    <row r="104" spans="1:37" x14ac:dyDescent="0.25">
      <c r="A104" s="10">
        <v>0</v>
      </c>
      <c r="B104" s="10">
        <v>10.6</v>
      </c>
      <c r="C104" s="10">
        <v>25.4</v>
      </c>
      <c r="D104" s="10">
        <v>28.2</v>
      </c>
      <c r="E104" s="10">
        <v>82.9</v>
      </c>
      <c r="F104" s="10">
        <v>1</v>
      </c>
      <c r="H104" s="10">
        <v>0</v>
      </c>
      <c r="I104" s="10">
        <v>14.3</v>
      </c>
      <c r="J104" s="10">
        <v>16.2</v>
      </c>
      <c r="K104" s="10">
        <v>29.5</v>
      </c>
      <c r="L104" s="10">
        <v>95.2</v>
      </c>
      <c r="M104" s="10">
        <v>0</v>
      </c>
      <c r="U104" s="14">
        <f>_xlfn.NORM.DIST(I103,$P$2,$P$3,FALSE)</f>
        <v>0.14820696494971941</v>
      </c>
      <c r="V104" s="14">
        <f>_xlfn.NORM.DIST(J103,$Q$2,$Q$3,FALSE)</f>
        <v>3.3627475019482531E-2</v>
      </c>
      <c r="W104" s="14">
        <f>_xlfn.NORM.DIST(K103,$R$2,$R$3,FALSE)</f>
        <v>7.6288439614063078E-2</v>
      </c>
      <c r="X104" s="7">
        <f>_xlfn.NORM.DIST(L103,$S$2,$S$3,FALSE)</f>
        <v>3.4975781765633852E-2</v>
      </c>
      <c r="Z104" s="16">
        <f>_xlfn.NORM.DIST(I103,$P$5,$P$6,FALSE)</f>
        <v>0.17352193688442297</v>
      </c>
      <c r="AA104" s="16">
        <f>_xlfn.NORM.DIST(J103,$Q$5,$Q$6,FALSE)</f>
        <v>5.0668251786796119E-2</v>
      </c>
      <c r="AB104" s="16">
        <f>_xlfn.NORM.DIST(K103,$R$5,$R$6,FALSE)</f>
        <v>0.10614722290829878</v>
      </c>
      <c r="AC104" s="16">
        <f>_xlfn.NORM.DIST(L103,$S$5,$S$6,FALSE)</f>
        <v>3.3997176256263625E-2</v>
      </c>
      <c r="AH104" s="7">
        <f>$AF$2 * U104 * V104 * W104 * X104</f>
        <v>6.8953022271224289E-6</v>
      </c>
      <c r="AI104" s="7">
        <f>$AF$3 * Z104 * AA104 * AB104 * AC104</f>
        <v>1.5276412542870952E-5</v>
      </c>
      <c r="AK104" s="7" t="str">
        <f t="shared" si="5"/>
        <v>ANEMIA</v>
      </c>
    </row>
    <row r="105" spans="1:37" x14ac:dyDescent="0.25">
      <c r="A105" s="10">
        <v>1</v>
      </c>
      <c r="B105" s="10">
        <v>12.1</v>
      </c>
      <c r="C105" s="10">
        <v>28.3</v>
      </c>
      <c r="D105" s="10">
        <v>30.4</v>
      </c>
      <c r="E105" s="10">
        <v>86.9</v>
      </c>
      <c r="F105" s="10">
        <v>1</v>
      </c>
      <c r="H105" s="10">
        <v>0</v>
      </c>
      <c r="I105" s="10">
        <v>11.8</v>
      </c>
      <c r="J105" s="10">
        <v>21.2</v>
      </c>
      <c r="K105" s="10">
        <v>28.4</v>
      </c>
      <c r="L105" s="10">
        <v>98.1</v>
      </c>
      <c r="M105" s="10">
        <v>1</v>
      </c>
      <c r="U105" s="14">
        <f>_xlfn.NORM.DIST(I104,$P$2,$P$3,FALSE)</f>
        <v>0.28150773605448098</v>
      </c>
      <c r="V105" s="14">
        <f>_xlfn.NORM.DIST(J104,$Q$2,$Q$3,FALSE)</f>
        <v>1.7001189698551321E-2</v>
      </c>
      <c r="W105" s="14">
        <f>_xlfn.NORM.DIST(K104,$R$2,$R$3,FALSE)</f>
        <v>0.20956180622006423</v>
      </c>
      <c r="X105" s="7">
        <f>_xlfn.NORM.DIST(L104,$S$2,$S$3,FALSE)</f>
        <v>2.51383941315775E-2</v>
      </c>
      <c r="Z105" s="16">
        <f>_xlfn.NORM.DIST(I104,$P$5,$P$6,FALSE)</f>
        <v>1.1671533213802886E-2</v>
      </c>
      <c r="AA105" s="16">
        <f>_xlfn.NORM.DIST(J104,$Q$5,$Q$6,FALSE)</f>
        <v>3.0451334692909848E-2</v>
      </c>
      <c r="AB105" s="16">
        <f>_xlfn.NORM.DIST(K104,$R$5,$R$6,FALSE)</f>
        <v>0.24615050169404551</v>
      </c>
      <c r="AC105" s="16">
        <f>_xlfn.NORM.DIST(L104,$S$5,$S$6,FALSE)</f>
        <v>2.7877788800776522E-2</v>
      </c>
      <c r="AH105" s="7">
        <f>$AF$2 * U105 * V105 * W105 * X105</f>
        <v>1.307325049930389E-5</v>
      </c>
      <c r="AI105" s="7">
        <f>$AF$3 * Z105 * AA105 * AB105 * AC105</f>
        <v>1.1742832872967044E-6</v>
      </c>
      <c r="AK105" s="7" t="str">
        <f t="shared" si="5"/>
        <v>SEHAT</v>
      </c>
    </row>
    <row r="106" spans="1:37" x14ac:dyDescent="0.25">
      <c r="A106" s="10">
        <v>1</v>
      </c>
      <c r="B106" s="10">
        <v>13.1</v>
      </c>
      <c r="C106" s="10">
        <v>17.7</v>
      </c>
      <c r="D106" s="10">
        <v>28.1</v>
      </c>
      <c r="E106" s="10">
        <v>80.7</v>
      </c>
      <c r="F106" s="10">
        <v>1</v>
      </c>
      <c r="H106" s="10">
        <v>1</v>
      </c>
      <c r="I106" s="10">
        <v>15.1</v>
      </c>
      <c r="J106" s="10">
        <v>21.3</v>
      </c>
      <c r="K106" s="10">
        <v>32.4</v>
      </c>
      <c r="L106" s="10">
        <v>100.6</v>
      </c>
      <c r="M106" s="10">
        <v>0</v>
      </c>
      <c r="U106" s="14">
        <f>_xlfn.NORM.DIST(I105,$P$2,$P$3,FALSE)</f>
        <v>3.0735613471506374E-2</v>
      </c>
      <c r="V106" s="14">
        <f>_xlfn.NORM.DIST(J105,$Q$2,$Q$3,FALSE)</f>
        <v>8.9179319697738013E-2</v>
      </c>
      <c r="W106" s="14">
        <f>_xlfn.NORM.DIST(K105,$R$2,$R$3,FALSE)</f>
        <v>0.10158460169025117</v>
      </c>
      <c r="X106" s="7">
        <f>_xlfn.NORM.DIST(L105,$S$2,$S$3,FALSE)</f>
        <v>1.8420047636355671E-2</v>
      </c>
      <c r="Z106" s="16">
        <f>_xlfn.NORM.DIST(I105,$P$5,$P$6,FALSE)</f>
        <v>0.44057755321202846</v>
      </c>
      <c r="AA106" s="16">
        <f>_xlfn.NORM.DIST(J105,$Q$5,$Q$6,FALSE)</f>
        <v>9.5921385240098245E-2</v>
      </c>
      <c r="AB106" s="16">
        <f>_xlfn.NORM.DIST(K105,$R$5,$R$6,FALSE)</f>
        <v>0.13700140718322579</v>
      </c>
      <c r="AC106" s="16">
        <f>_xlfn.NORM.DIST(L105,$S$5,$S$6,FALSE)</f>
        <v>2.0526951239266716E-2</v>
      </c>
      <c r="AH106" s="7">
        <f>$AF$2 * U106 * V106 * W106 * X106</f>
        <v>2.6594323267591072E-6</v>
      </c>
      <c r="AI106" s="7">
        <f>$AF$3 * Z106 * AA106 * AB106 * AC106</f>
        <v>5.7222506273392785E-5</v>
      </c>
      <c r="AK106" s="7" t="str">
        <f t="shared" si="5"/>
        <v>ANEMIA</v>
      </c>
    </row>
    <row r="107" spans="1:37" x14ac:dyDescent="0.25">
      <c r="A107" s="10">
        <v>0</v>
      </c>
      <c r="B107" s="10">
        <v>11.8</v>
      </c>
      <c r="C107" s="10">
        <v>21.2</v>
      </c>
      <c r="D107" s="10">
        <v>28.4</v>
      </c>
      <c r="E107" s="10">
        <v>98.1</v>
      </c>
      <c r="F107" s="10">
        <v>1</v>
      </c>
      <c r="H107" s="10">
        <v>1</v>
      </c>
      <c r="I107" s="10">
        <v>14.8</v>
      </c>
      <c r="J107" s="10">
        <v>19.5</v>
      </c>
      <c r="K107" s="10">
        <v>32.200000000000003</v>
      </c>
      <c r="L107" s="10">
        <v>72.099999999999994</v>
      </c>
      <c r="M107" s="10">
        <v>0</v>
      </c>
      <c r="U107" s="14">
        <f>_xlfn.NORM.DIST(I106,$P$2,$P$3,FALSE)</f>
        <v>0.28020677063569788</v>
      </c>
      <c r="V107" s="14">
        <f>_xlfn.NORM.DIST(J106,$Q$2,$Q$3,FALSE)</f>
        <v>9.0544332732301669E-2</v>
      </c>
      <c r="W107" s="14">
        <f>_xlfn.NORM.DIST(K106,$R$2,$R$3,FALSE)</f>
        <v>0.12142046954026794</v>
      </c>
      <c r="X107" s="7">
        <f>_xlfn.NORM.DIST(L106,$S$2,$S$3,FALSE)</f>
        <v>1.3195185029398853E-2</v>
      </c>
      <c r="Z107" s="16">
        <f>_xlfn.NORM.DIST(I106,$P$5,$P$6,FALSE)</f>
        <v>7.2389786852900125E-4</v>
      </c>
      <c r="AA107" s="16">
        <f>_xlfn.NORM.DIST(J106,$Q$5,$Q$6,FALSE)</f>
        <v>9.6587875894709282E-2</v>
      </c>
      <c r="AB107" s="16">
        <f>_xlfn.NORM.DIST(K106,$R$5,$R$6,FALSE)</f>
        <v>8.2847218410093668E-2</v>
      </c>
      <c r="AC107" s="16">
        <f>_xlfn.NORM.DIST(L106,$S$5,$S$6,FALSE)</f>
        <v>1.4681582649095205E-2</v>
      </c>
      <c r="AH107" s="7">
        <f>$AF$2 * U107 * V107 * W107 * X107</f>
        <v>2.1077134235811856E-5</v>
      </c>
      <c r="AI107" s="7">
        <f>$AF$3 * Z107 * AA107 * AB107 * AC107</f>
        <v>4.0947774912297793E-8</v>
      </c>
      <c r="AK107" s="7" t="str">
        <f t="shared" si="5"/>
        <v>ANEMIA</v>
      </c>
    </row>
    <row r="108" spans="1:37" x14ac:dyDescent="0.25">
      <c r="A108" s="10">
        <v>1</v>
      </c>
      <c r="B108" s="10">
        <v>13.2</v>
      </c>
      <c r="C108" s="10">
        <v>20.399999999999999</v>
      </c>
      <c r="D108" s="10">
        <v>28</v>
      </c>
      <c r="E108" s="10">
        <v>97.4</v>
      </c>
      <c r="F108" s="10">
        <v>1</v>
      </c>
      <c r="H108" s="10">
        <v>1</v>
      </c>
      <c r="I108" s="10">
        <v>13.2</v>
      </c>
      <c r="J108" s="10">
        <v>20.399999999999999</v>
      </c>
      <c r="K108" s="10">
        <v>28</v>
      </c>
      <c r="L108" s="10">
        <v>97.4</v>
      </c>
      <c r="M108" s="10">
        <v>1</v>
      </c>
      <c r="U108" s="14">
        <f>_xlfn.NORM.DIST(I107,$P$2,$P$3,FALSE)</f>
        <v>0.29230447967585438</v>
      </c>
      <c r="V108" s="14">
        <f>_xlfn.NORM.DIST(J107,$Q$2,$Q$3,FALSE)</f>
        <v>6.1847433358402405E-2</v>
      </c>
      <c r="W108" s="14">
        <f>_xlfn.NORM.DIST(K107,$R$2,$R$3,FALSE)</f>
        <v>0.14134082598061617</v>
      </c>
      <c r="X108" s="7">
        <f>_xlfn.NORM.DIST(L107,$S$2,$S$3,FALSE)</f>
        <v>1.6221681509107837E-2</v>
      </c>
      <c r="Z108" s="16">
        <f>_xlfn.NORM.DIST(I107,$P$5,$P$6,FALSE)</f>
        <v>2.2511561346832054E-3</v>
      </c>
      <c r="AA108" s="16">
        <f>_xlfn.NORM.DIST(J107,$Q$5,$Q$6,FALSE)</f>
        <v>7.7453213442064184E-2</v>
      </c>
      <c r="AB108" s="16">
        <f>_xlfn.NORM.DIST(K107,$R$5,$R$6,FALSE)</f>
        <v>0.10095777634474051</v>
      </c>
      <c r="AC108" s="16">
        <f>_xlfn.NORM.DIST(L107,$S$5,$S$6,FALSE)</f>
        <v>1.3398696793248276E-2</v>
      </c>
      <c r="AH108" s="7">
        <f>$AF$2 * U108 * V108 * W108 * X108</f>
        <v>2.1492400225236836E-5</v>
      </c>
      <c r="AI108" s="7">
        <f>$AF$3 * Z108 * AA108 * AB108 * AC108</f>
        <v>1.1356041798379442E-7</v>
      </c>
      <c r="AK108" s="7" t="str">
        <f>IF(AH109&gt;AI109, "ANEMIA", "SEHAT")</f>
        <v>SEHAT</v>
      </c>
    </row>
    <row r="109" spans="1:37" x14ac:dyDescent="0.25">
      <c r="A109" s="10">
        <v>1</v>
      </c>
      <c r="B109" s="10">
        <v>13</v>
      </c>
      <c r="C109" s="10">
        <v>26</v>
      </c>
      <c r="D109" s="10">
        <v>31.4</v>
      </c>
      <c r="E109" s="10">
        <v>82.8</v>
      </c>
      <c r="F109" s="10">
        <v>1</v>
      </c>
      <c r="H109" s="10">
        <v>1</v>
      </c>
      <c r="I109" s="10">
        <v>13</v>
      </c>
      <c r="J109" s="10">
        <v>26</v>
      </c>
      <c r="K109" s="10">
        <v>31.4</v>
      </c>
      <c r="L109" s="10">
        <v>82.8</v>
      </c>
      <c r="M109" s="10">
        <v>1</v>
      </c>
      <c r="U109" s="14">
        <f>_xlfn.NORM.DIST(I108,$P$2,$P$3,FALSE)</f>
        <v>0.16106291598809838</v>
      </c>
      <c r="V109" s="14">
        <f>_xlfn.NORM.DIST(J108,$Q$2,$Q$3,FALSE)</f>
        <v>7.6997647395806473E-2</v>
      </c>
      <c r="W109" s="14">
        <f>_xlfn.NORM.DIST(K108,$R$2,$R$3,FALSE)</f>
        <v>6.8758451877375684E-2</v>
      </c>
      <c r="X109" s="7">
        <f>_xlfn.NORM.DIST(L108,$S$2,$S$3,FALSE)</f>
        <v>2.0004803838322267E-2</v>
      </c>
      <c r="Z109" s="16">
        <f>_xlfn.NORM.DIST(I108,$P$5,$P$6,FALSE)</f>
        <v>0.14823611683596097</v>
      </c>
      <c r="AA109" s="16">
        <f>_xlfn.NORM.DIST(J108,$Q$5,$Q$6,FALSE)</f>
        <v>8.8722459274382548E-2</v>
      </c>
      <c r="AB109" s="16">
        <f>_xlfn.NORM.DIST(K108,$R$5,$R$6,FALSE)</f>
        <v>9.6610794909100323E-2</v>
      </c>
      <c r="AC109" s="16">
        <f>_xlfn.NORM.DIST(L108,$S$5,$S$6,FALSE)</f>
        <v>2.2281422758245933E-2</v>
      </c>
      <c r="AH109" s="7">
        <f>$AF$2 * U109 * V109 * W109 * X109</f>
        <v>8.8449966329010665E-6</v>
      </c>
      <c r="AI109" s="7">
        <f>$AF$3 * Z109 * AA109 * AB109 * AC109</f>
        <v>1.3631252533114454E-5</v>
      </c>
      <c r="AK109" s="7" t="str">
        <f>IF(AH110&gt;AI110, "ANEMIA", "SEHAT")</f>
        <v>ANEMIA</v>
      </c>
    </row>
    <row r="110" spans="1:37" x14ac:dyDescent="0.25">
      <c r="U110" s="14">
        <f>_xlfn.NORM.DIST(I109,$P$2,$P$3,FALSE)</f>
        <v>0.13564215337257729</v>
      </c>
      <c r="V110" s="14">
        <f>_xlfn.NORM.DIST(J109,$Q$2,$Q$3,FALSE)</f>
        <v>8.3551325869499107E-2</v>
      </c>
      <c r="W110" s="14">
        <f>_xlfn.NORM.DIST(K109,$R$2,$R$3,FALSE)</f>
        <v>0.21910148229849283</v>
      </c>
      <c r="X110" s="7">
        <f>_xlfn.NORM.DIST(L109,$S$2,$S$3,FALSE)</f>
        <v>3.7834026429830116E-2</v>
      </c>
      <c r="Z110" s="16">
        <f>_xlfn.NORM.DIST(I109,$P$5,$P$6,FALSE)</f>
        <v>0.20064584233468899</v>
      </c>
      <c r="AA110" s="16">
        <f>_xlfn.NORM.DIST(J109,$Q$5,$Q$6,FALSE)</f>
        <v>6.5830320560856581E-2</v>
      </c>
      <c r="AB110" s="16">
        <f>_xlfn.NORM.DIST(K109,$R$5,$R$6,FALSE)</f>
        <v>0.1856536457293162</v>
      </c>
      <c r="AC110" s="16">
        <f>_xlfn.NORM.DIST(L109,$S$5,$S$6,FALSE)</f>
        <v>3.790239376076452E-2</v>
      </c>
      <c r="AH110" s="7">
        <f>$AF$2 * U110 * V110 * W110 * X110</f>
        <v>4.8712472313812847E-5</v>
      </c>
      <c r="AI110" s="7">
        <f>$AF$3 * Z110 * AA110 * AB110 * AC110</f>
        <v>4.4751319400117404E-5</v>
      </c>
    </row>
  </sheetData>
  <mergeCells count="4">
    <mergeCell ref="U1:X1"/>
    <mergeCell ref="Z1:AC1"/>
    <mergeCell ref="AH1:AI1"/>
    <mergeCell ref="AE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RAW</vt:lpstr>
      <vt:lpstr>DATA SIAP</vt:lpstr>
      <vt:lpstr>DATA TRAINING 80%</vt:lpstr>
      <vt:lpstr>DATA TESTING 20%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Evrillia Kurniawati</dc:creator>
  <cp:lastModifiedBy>Firzan Syaroni</cp:lastModifiedBy>
  <dcterms:created xsi:type="dcterms:W3CDTF">2025-12-04T05:27:12Z</dcterms:created>
  <dcterms:modified xsi:type="dcterms:W3CDTF">2025-12-11T02:51:17Z</dcterms:modified>
</cp:coreProperties>
</file>